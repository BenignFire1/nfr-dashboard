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945" windowWidth="14805" windowHeight="7170" activeTab="5"/>
  </bookViews>
  <sheets>
    <sheet name="KIR" sheetId="1" r:id="rId1"/>
    <sheet name="APDJ" sheetId="2" r:id="rId2"/>
    <sheet name="RNY" sheetId="3" r:id="rId3"/>
    <sheet name="LMG" sheetId="4" r:id="rId4"/>
    <sheet name="TSK" sheetId="5" r:id="rId5"/>
    <sheet name="Summary" sheetId="6" r:id="rId6"/>
  </sheets>
  <calcPr calcId="124519"/>
</workbook>
</file>

<file path=xl/calcChain.xml><?xml version="1.0" encoding="utf-8"?>
<calcChain xmlns="http://schemas.openxmlformats.org/spreadsheetml/2006/main">
  <c r="E118" i="1"/>
  <c r="E61"/>
  <c r="E131" i="3"/>
  <c r="E101"/>
  <c r="E121" i="4"/>
  <c r="E107"/>
  <c r="E78"/>
  <c r="E53"/>
  <c r="E41"/>
  <c r="E97" i="5"/>
  <c r="E83"/>
  <c r="E58"/>
  <c r="E82" i="2" l="1"/>
  <c r="E156" i="3"/>
  <c r="E169" l="1"/>
  <c r="E170" s="1"/>
  <c r="E32" i="5" l="1"/>
  <c r="E17"/>
  <c r="E114" i="3"/>
  <c r="E34" i="1" l="1"/>
  <c r="E17"/>
  <c r="E143"/>
  <c r="E95" i="2"/>
  <c r="E48"/>
  <c r="E31"/>
  <c r="E17"/>
  <c r="E122" i="4"/>
  <c r="E98" i="5"/>
  <c r="E144" i="1" l="1"/>
  <c r="E96" i="2"/>
  <c r="L5" i="6" l="1"/>
  <c r="L6"/>
  <c r="C9" l="1"/>
  <c r="L7" l="1"/>
  <c r="L4"/>
  <c r="E9" l="1"/>
  <c r="L8" l="1"/>
  <c r="K9" l="1"/>
  <c r="J9"/>
  <c r="I9"/>
  <c r="H9"/>
  <c r="G9"/>
  <c r="F9"/>
  <c r="D9"/>
  <c r="L9" l="1"/>
</calcChain>
</file>

<file path=xl/sharedStrings.xml><?xml version="1.0" encoding="utf-8"?>
<sst xmlns="http://schemas.openxmlformats.org/spreadsheetml/2006/main" count="2428" uniqueCount="838">
  <si>
    <t>Contract particulars</t>
  </si>
  <si>
    <t>Remarks</t>
  </si>
  <si>
    <t>Contract Particular details -</t>
  </si>
  <si>
    <t>KIR Divn</t>
  </si>
  <si>
    <t>APDJ Divn</t>
  </si>
  <si>
    <t>RNY Divn</t>
  </si>
  <si>
    <t>LMG Divn</t>
  </si>
  <si>
    <t>TSK Divn</t>
  </si>
  <si>
    <t>Policy Head</t>
  </si>
  <si>
    <t>KIR</t>
  </si>
  <si>
    <t>LMG</t>
  </si>
  <si>
    <t>TSK</t>
  </si>
  <si>
    <t>RNY</t>
  </si>
  <si>
    <t>APDJ</t>
  </si>
  <si>
    <t>Month</t>
  </si>
  <si>
    <t>S.No.</t>
  </si>
  <si>
    <t>Zone</t>
  </si>
  <si>
    <t xml:space="preserve">Z-611
RDN 
</t>
  </si>
  <si>
    <t>Z-612
Mobile Assets</t>
  </si>
  <si>
    <t>Z-613
OOH</t>
  </si>
  <si>
    <t>Z-614
COD</t>
  </si>
  <si>
    <t>Z-615
Unsolicited</t>
  </si>
  <si>
    <t>Z-616
Interactive services</t>
  </si>
  <si>
    <t>Z-617
Other NFR activities including NINFRIS</t>
  </si>
  <si>
    <t>Z-618
Various NFR unclasified earnings from Advt. fees &amp; ATM</t>
  </si>
  <si>
    <t>Z-248
Receipt from App Based Cab Services and parking of vehicles in Railway land except stations</t>
  </si>
  <si>
    <t>Invoice Details</t>
  </si>
  <si>
    <t xml:space="preserve">Sent to Accounts </t>
  </si>
  <si>
    <t>Earnings achieved (In Rs.)</t>
  </si>
  <si>
    <t>e-auction</t>
  </si>
  <si>
    <t xml:space="preserve">e-auction </t>
  </si>
  <si>
    <t>ATM</t>
  </si>
  <si>
    <t>NIL</t>
  </si>
  <si>
    <t>TOTAL</t>
  </si>
  <si>
    <t>GRAND TOTAL</t>
  </si>
  <si>
    <t>Sole advertisement rights at 12 nos. of stations &amp; circulating area in Assam region.</t>
  </si>
  <si>
    <t>Installation, operation/ functioning of Rail Coach Restaurant in circular garden &amp; maintenance of Circular garden at NCB Railway station's Circulating area</t>
  </si>
  <si>
    <t>Installation and functioning of Health ATM at NCB station at PF-01 at the cost of licensee.</t>
  </si>
  <si>
    <t>Apr/2024</t>
  </si>
  <si>
    <t>Advt. at 58 station locations over APDJ Divn under sole right contract (Non-Digital)</t>
  </si>
  <si>
    <t>Display of advertisement at Siliguri city Booking office cum reservation office (Outside area)</t>
  </si>
  <si>
    <t>E-auction for PMBJK at AGTL Station</t>
  </si>
  <si>
    <t>Functioning of Rail Coach Restaurant at Coochbehar Railway station circulating area in refurbished coach in all respect having restaurant facility</t>
  </si>
  <si>
    <t>Apr/2025</t>
  </si>
  <si>
    <t>Application fee for "Setting up a Men's Salon at GHY Railway Station</t>
  </si>
  <si>
    <t>2nd Qtr L/Fee for BPRD</t>
  </si>
  <si>
    <t>3rd Qtr L/Fee for RNY</t>
  </si>
  <si>
    <t>Inv. No. ES25F05L000072 dtd. 04.04.25</t>
  </si>
  <si>
    <t>Advt. rights at height gauge at LC gate near Sevok Station, near JPE Station &amp; ROB-123A near NCB Station.</t>
  </si>
  <si>
    <t>Inv. No. ES25F05L000190 dtd. 08.04.25</t>
  </si>
  <si>
    <t>Inv. No. ES25F05L000710 dtd. 28.04.25</t>
  </si>
  <si>
    <t>Inv. No. ES25F05L000506 dtd. 19.04.25</t>
  </si>
  <si>
    <t>Inv. No. ES25F05L000127 dtd. 06.04.25</t>
  </si>
  <si>
    <t>Inv. No. ES25F05L000053 dtd. 03.04.25</t>
  </si>
  <si>
    <t>Inv. No. ES25F05L000480 dtd. 18.04.25</t>
  </si>
  <si>
    <t>Allotment of contract for display of advertisement through Board/Hoarding on station PP Shed, RUB guard and LC gate at Railway station/nearby railway area at specified/earmarked location over Katihar division for a period of 03 years</t>
  </si>
  <si>
    <t>Inv. No. ES25F05L000452 dtd. 17.04.25</t>
  </si>
  <si>
    <t>AC Rest Room at NJP</t>
  </si>
  <si>
    <t>MR No. 23707 dtd. 10.04.25</t>
  </si>
  <si>
    <t>Cash Office/ NJP</t>
  </si>
  <si>
    <t>ATM at Darjeeling Railway Stn</t>
  </si>
  <si>
    <t>DD No. 651934 dtd. 19.04.25</t>
  </si>
  <si>
    <t>25.04.25</t>
  </si>
  <si>
    <t>ATM at Katihar Model Booking Office</t>
  </si>
  <si>
    <t>Cheque No. 013920 dtd. 21.04.25</t>
  </si>
  <si>
    <t>23.04.25</t>
  </si>
  <si>
    <t>ATM at Purnea Railway Stn</t>
  </si>
  <si>
    <t>DD No. 623460 dtd. 10.03.25</t>
  </si>
  <si>
    <t>04.04.25</t>
  </si>
  <si>
    <t>Inv. No. ES25F05L00145 dtd. 07.04.25</t>
  </si>
  <si>
    <t>Inv. No. ES25F05L000146 dtd. 07.04.25</t>
  </si>
  <si>
    <t>Inv. No. ES25F05L000618 dtd. 24.04.25</t>
  </si>
  <si>
    <t>Inv. No. ES25F05L003433 dtd. 14.04.25</t>
  </si>
  <si>
    <t xml:space="preserve">DD No. 501985 dtd. 09.04.25  </t>
  </si>
  <si>
    <t>May/2025</t>
  </si>
  <si>
    <t>L/Fee of Coach restaurant/ NTSK</t>
  </si>
  <si>
    <t>DD No. 094604 dated 08.04.2025</t>
  </si>
  <si>
    <t>23.04.2025</t>
  </si>
  <si>
    <t>E-auction for awarding advt rights at earmarked area of various stations (Inside)</t>
  </si>
  <si>
    <t>E-auction for awarding advt rights at earmarked circulating area of various stations</t>
  </si>
  <si>
    <t>Advt rights at earmarked area of AGTL station (Inside)</t>
  </si>
  <si>
    <t>Inv. No. ES25F05L001444 dtd. 23.05.2025</t>
  </si>
  <si>
    <t>23.05.2025</t>
  </si>
  <si>
    <t>09.05.2025</t>
  </si>
  <si>
    <t>Advt rights at earmarked area of HJI station and circulating area</t>
  </si>
  <si>
    <t>Inv. No. ES25F05L001430 dtd. 23.05.2025</t>
  </si>
  <si>
    <t>Advt rights at earmarked area of DMV station and circulating area</t>
  </si>
  <si>
    <t>Inv. No. ES25F05L001431 dtd. 23.05.2025</t>
  </si>
  <si>
    <t>Advt rights at earmarked area of KYQ station and circulating area</t>
  </si>
  <si>
    <t>Inv. No. ES25F05L001432 dtd. 23.05.2025</t>
  </si>
  <si>
    <t>E-auction for Commercial advt rights through Vinyl wrapping on GHY-OKHA Express integrated with GHY-LTT Express</t>
  </si>
  <si>
    <t>Inv. No. ES25F05L001508 dtd. 26.05.2025</t>
  </si>
  <si>
    <t>14.04.2025</t>
  </si>
  <si>
    <t>07.04.2025</t>
  </si>
  <si>
    <t>1st Qtr L/Fee for BPRD (Non-Digital)</t>
  </si>
  <si>
    <t>10th Qtr L/Fee for NBQ (Non-Digital)</t>
  </si>
  <si>
    <t>12th Qtr L/Fee for NLV (Non-digital)</t>
  </si>
  <si>
    <t>Inv. No. ES25F05L001204 dtd. 17.05.2025</t>
  </si>
  <si>
    <t>Inv. No. ES24F05L0006748 dtd. 28.03.25</t>
  </si>
  <si>
    <t>12th Qtr L/Fee for RNY (Non-digital)</t>
  </si>
  <si>
    <t>Inv. No. ES25F05L001202 dtd. 17.05.2025</t>
  </si>
  <si>
    <t>12th Qtr L/Fee for NBQ (Non-digital)</t>
  </si>
  <si>
    <t>Inv. No. ES25F05L001203 dtd. 17.05.2025</t>
  </si>
  <si>
    <t>4th Qtr L/Fee for NHLN (Non-digital)</t>
  </si>
  <si>
    <t>Inv. No. ES25F05L000716 dtd. 04.05.2025</t>
  </si>
  <si>
    <t>8th Qtr L/Fee for BNGN (Non-digital)</t>
  </si>
  <si>
    <t>Inv. No. ES25F05L000712 dtd. 03.05.2025</t>
  </si>
  <si>
    <t>8th Qtr L/Fee for RNY (Non-digital)</t>
  </si>
  <si>
    <t>Inv. No. ES25F05L000711 dtd. 03.05.2025</t>
  </si>
  <si>
    <t>4th Qtr L/Fee for NBQ (Digital)</t>
  </si>
  <si>
    <t>Inv. No. ES25F05L001545 dtd. 27.05.2025</t>
  </si>
  <si>
    <t>4th Qtr L/Fee for RNY (Digital)</t>
  </si>
  <si>
    <t>Inv. No. ES25F05L001546 dtd. 27.05.2025</t>
  </si>
  <si>
    <t>12th Qtr L/Fee at RNY for AC waiting hall management</t>
  </si>
  <si>
    <t>Inv. No. ES25F05L001576 dtd. 28.05.2025</t>
  </si>
  <si>
    <t>19.04.2025</t>
  </si>
  <si>
    <t>06.04.2025</t>
  </si>
  <si>
    <t>03.04.2025</t>
  </si>
  <si>
    <t>Sole rights for OOH advt at 58 stations circulating area over APDJ Divn</t>
  </si>
  <si>
    <t>Inv. No. ES25F05L001019 dtd. 08.05.2025</t>
  </si>
  <si>
    <t>Manning and maintenance of AC waiting room at NOQ and NCB station</t>
  </si>
  <si>
    <t>Inv. No. ES25F05L000820 dtd. 02.05.2025</t>
  </si>
  <si>
    <t>02.05.2025</t>
  </si>
  <si>
    <t>L/Fee for Coach Restaurant/KOJ</t>
  </si>
  <si>
    <t>MR No. AZA10860175 dtd. 22.05.2025</t>
  </si>
  <si>
    <t>22.05.2025</t>
  </si>
  <si>
    <t>UTS/KOJ</t>
  </si>
  <si>
    <t>L/Fee for functioning of Catering srvices in Old PRS building near to NCB Station</t>
  </si>
  <si>
    <t>Inv. No. ES25F05L001228 dtd. 15.05.2025</t>
  </si>
  <si>
    <t>e-auction for display of advt through Vinyl wrapping on exterior space of Train No. 12041/12042 NJP-HWH Shatabdi Exp</t>
  </si>
  <si>
    <t>Inv. No. ES25F05L000909 dtd. 05.05.2025</t>
  </si>
  <si>
    <t>18.04.2025</t>
  </si>
  <si>
    <t>17.04.2025</t>
  </si>
  <si>
    <t>10.04.2025</t>
  </si>
  <si>
    <t>e-auction for display of advt through Vinyl wrapping on exterior space of Train No. 15713/15714 KIR-PNBE Intercity Exp</t>
  </si>
  <si>
    <t>Inv. No. ES25F05L001248 dtd. 16.05.2025</t>
  </si>
  <si>
    <t>16.05.2025</t>
  </si>
  <si>
    <t>Display of advt through flex board at new ROB towards Mangal Bazar,Katihar</t>
  </si>
  <si>
    <t>Inv. No. ES25F05L001179 dtd. 14.05.2025</t>
  </si>
  <si>
    <t>Other NFR activities</t>
  </si>
  <si>
    <t>Maintenance and operation of waiting hall at BOE station</t>
  </si>
  <si>
    <t>Inv. No. ES25F05L001467 dtd. 24.05.2025</t>
  </si>
  <si>
    <t>24.05.2025</t>
  </si>
  <si>
    <t>Maintenance and manning of Narrow Gauge Coach Lounge at NJP station</t>
  </si>
  <si>
    <t>Inv. No. ES25F05L000801 dtd. 01.05.2025</t>
  </si>
  <si>
    <t>01.05.2025</t>
  </si>
  <si>
    <t>Maintenance and operation of AC waiting rooms at JBN Station</t>
  </si>
  <si>
    <t>Inv. No. ES25F05L001238 dtd. 16.05.2025</t>
  </si>
  <si>
    <t>Upgradation and maintenance of AC executive lounge at SGUJ Station</t>
  </si>
  <si>
    <t>Inv. No. ES25F05L001442 dtd. 23.05.2025</t>
  </si>
  <si>
    <t>Maintenance and operation of AC executive lounge at KIR Station</t>
  </si>
  <si>
    <t>Inv. No. ES25F05L001485 dtd. 25.05.2025</t>
  </si>
  <si>
    <t>25.05.2025</t>
  </si>
  <si>
    <t>Rail coach restaurant at circulating area of Malda Court Railway Station</t>
  </si>
  <si>
    <t>Inv. No. ES25F05L001169 dtd. 13.05.2025</t>
  </si>
  <si>
    <t>13.05.2025</t>
  </si>
  <si>
    <t>Rail coach restaurant at circulating area of Purnea Station</t>
  </si>
  <si>
    <t>Inv. No. ES25F05L000453 dtd. 17.04.2025</t>
  </si>
  <si>
    <t>ATM at FBG Station</t>
  </si>
  <si>
    <t>DD No. 588897 dtd. 05.05.2025</t>
  </si>
  <si>
    <t>June/2025</t>
  </si>
  <si>
    <t>RDN contract for a period of 03 years at DJG, NTSK and DBRG (Digital)</t>
  </si>
  <si>
    <t>Inv. No. ES25F05L002119 dtd. 16.06.2025</t>
  </si>
  <si>
    <t>Online</t>
  </si>
  <si>
    <t>Advt Commercial contract at Bogibeel approach road</t>
  </si>
  <si>
    <t>Inv. No. ES25F05L002118 dtd. 16.06.2025</t>
  </si>
  <si>
    <t>Vinyl wrapping contract at 22501/22502 for the period of 03 years</t>
  </si>
  <si>
    <t>Inv. No. ES25F05L002326 dtd. 24.06.2025</t>
  </si>
  <si>
    <t>L/Fee for Riverfront Development area, Bogibeel, Dibrugarh</t>
  </si>
  <si>
    <t>DD No. 586834 dated 30.05.2025</t>
  </si>
  <si>
    <t>03.06.2025</t>
  </si>
  <si>
    <t>L/Fee for bulk Advt right at SRTN Station</t>
  </si>
  <si>
    <t>DD No. 272091 dated 20.06.2025</t>
  </si>
  <si>
    <t>24.06.2025</t>
  </si>
  <si>
    <t>L/Fee for bulk Advt right at FKG Station</t>
  </si>
  <si>
    <t>DD No. 272092 dated 20.06.2025</t>
  </si>
  <si>
    <t>L/Fee against display of commercial advt through hoardings/boards in 39 stations over TSK Divn</t>
  </si>
  <si>
    <t>DD No. 272090 dated 20.06.2025</t>
  </si>
  <si>
    <t>Commercial Advt at DJG Station behind PF-2</t>
  </si>
  <si>
    <t>Inv. No. ES25F05L001780 dtd. 05.06.2025</t>
  </si>
  <si>
    <t>09.04.2025</t>
  </si>
  <si>
    <t>Application fee for "Blended Hospitality services for Indian Railway Passengers at Guwahati Railway Station under NINFRIS Scheme"</t>
  </si>
  <si>
    <t>DD No. 501979 dated 07.04.2025</t>
  </si>
  <si>
    <t>1st year annual L/Fee for "Blended Hospitality services for Indian Railway Passengers at Guwahati Railway Station under NINFRIS Scheme"</t>
  </si>
  <si>
    <t>Bank Transaction ID CPAFFSPWX5, dated 13.06.2025</t>
  </si>
  <si>
    <t>MeRS</t>
  </si>
  <si>
    <t>E-auction for awarding Advt rights at Silchar Station (Non-Digital)</t>
  </si>
  <si>
    <t>Inv. No. ES25F05L002151 dtd. 18.06.2025</t>
  </si>
  <si>
    <t>Setting up of tea stall cum ethnic food stall at GHY and KYQ Station under NINFRIS Scheme</t>
  </si>
  <si>
    <t>Cheque No. 002038 &amp; 002039 dated 13.06.2025</t>
  </si>
  <si>
    <t>13.06.2025</t>
  </si>
  <si>
    <t>E-auction for awarding advt rights at earmarked area of KUGT Station (Inside)</t>
  </si>
  <si>
    <t>Inv. No. ES25F05L002331 dtd. 24.06.2025</t>
  </si>
  <si>
    <t>E-auction for awarding advt rights at earmarked area of ABSA Station (Inside)</t>
  </si>
  <si>
    <t>Inv. No. ES25F05L002330 dtd. 24.06.2025</t>
  </si>
  <si>
    <t>E-auction for awarding advt rights at earmarked area of JGNR Station (Inside)</t>
  </si>
  <si>
    <t>Inv. No. ES25F05L002333 dtd. 24.06.2025</t>
  </si>
  <si>
    <t>E-auction for awarding advt rights at earmarked area of Udaipur Station (Inside)</t>
  </si>
  <si>
    <t>Inv. No. ES25F05L002334 dtd. 24.06.2025</t>
  </si>
  <si>
    <t>E-auction for awarding advt rights at earmarked area of Belonia Station (Inside)</t>
  </si>
  <si>
    <t>Inv. No. ES25F05L002332 dtd. 24.06.2025</t>
  </si>
  <si>
    <t>E-auction for awarding advt rights at earmarked area of Dharmanagar Station (Inside)</t>
  </si>
  <si>
    <t>Inv. No. ES25F05L002329 dtd. 24.06.2025</t>
  </si>
  <si>
    <t>E-auction for awarding advt rights at earmarked area of Lumding Station and circulating area</t>
  </si>
  <si>
    <t>Inv. No. ES25F05L002383 dtd. 24.06.2025</t>
  </si>
  <si>
    <t>E-auction for awarding advt rights at earmarked area of Karimganj Station and circulating area</t>
  </si>
  <si>
    <t>Inv. No. ES25F05L002385 dtd. 24.06.2025</t>
  </si>
  <si>
    <t>E-auction for awarding advt rights at earmarked area of Badarpur Station and circulating area</t>
  </si>
  <si>
    <t>Inv. No. ES25F05L002386 dtd. 24.06.2025</t>
  </si>
  <si>
    <t>E-auction for awarding advt rights at earmarked area of New Haflong Station and circulating area</t>
  </si>
  <si>
    <t>Inv. No. ES25F05L002384 dtd. 24.06.2025</t>
  </si>
  <si>
    <t>PMBJK at BPB Station</t>
  </si>
  <si>
    <t>Inv. No. ES25F05L002295 dtd. 23.06.2025</t>
  </si>
  <si>
    <t>Inv. No. ES25F05L002387 dtd. 26.06.2025</t>
  </si>
  <si>
    <t>L/Fee for RDN/BPRD 
(Non-Digital)</t>
  </si>
  <si>
    <t>L/Fee for RDN/HMY 
(Non-Digital)</t>
  </si>
  <si>
    <t>Inv. No. ES25F05L002111 dtd. 16.06.2025</t>
  </si>
  <si>
    <t>L/Fee for RDN/MRZA 
(Non-Digital)</t>
  </si>
  <si>
    <t>Inv. No. ES25F05L002112 dtd. 16.06.2025</t>
  </si>
  <si>
    <t>L/Fee for RDN/ULG 
(Non-Digital)</t>
  </si>
  <si>
    <t>Inv. No. ES25F05L002116 dtd. 16.06.2025</t>
  </si>
  <si>
    <t>L/Fee for RDN/BIZ 
(Non-Digital)</t>
  </si>
  <si>
    <t>Inv. No. ES25F05L002102 dtd. 16.06.2025</t>
  </si>
  <si>
    <t>L/Fee for RDN/RWTB 
(Non-Digital)</t>
  </si>
  <si>
    <t>Inv. No. ES25F05L002107 dtd. 16.06.2025</t>
  </si>
  <si>
    <t>L/Fee for RDN/DPRA 
(Non-Digital)</t>
  </si>
  <si>
    <t>Inv. No. ES25F05L002113 dtd. 16.06.2025</t>
  </si>
  <si>
    <t>L/Fee for RDN/TNL 
(Non-Digital)</t>
  </si>
  <si>
    <t>Inv. No. ES25F05L002117 dtd. 16.06.2025</t>
  </si>
  <si>
    <t>L/Fee for RDN/DDNI 
(Non-Digital)</t>
  </si>
  <si>
    <t>Inv. No. ES25F05L002110 dtd. 16.06.2025</t>
  </si>
  <si>
    <t>L/Fee for RDN/CGS 
(Non-Digital)</t>
  </si>
  <si>
    <t>Inv. No. ES25F05L002245 dtd. 21.06.2025</t>
  </si>
  <si>
    <t>L/Fee for RDN/KRNI 
(Non-Digital)</t>
  </si>
  <si>
    <t>Inv. No. ES25F05L002099 dtd. 16.06.2025</t>
  </si>
  <si>
    <t>L/Fee for RDN/GLPT 
(Non-Digital)</t>
  </si>
  <si>
    <t>Inv. No. ES25F05L002108 dtd. 16.06.2025</t>
  </si>
  <si>
    <t>L/Fee for RDN/PBL 
(Non-Digital)</t>
  </si>
  <si>
    <t>Inv. No. ES25F05L002109 dtd. 16.06.2025</t>
  </si>
  <si>
    <t>L/Fee for RDN/SBE 
(Non-Digital)</t>
  </si>
  <si>
    <t>Inv. No. ES25F05L002105 dtd. 16.06.2025</t>
  </si>
  <si>
    <t>L/Fee for RDN/BVU 
(Non-Digital)</t>
  </si>
  <si>
    <t>Inv. No. ES25F05L002106 dtd. 16.06.2025</t>
  </si>
  <si>
    <t>L/Fee for RDN/AYU 
(Non-Digital)</t>
  </si>
  <si>
    <t>Inv. No. ES25F05L002100 dtd. 16.06.2025</t>
  </si>
  <si>
    <t>L/Fee for RDN/VNE 
(Non-Digital)</t>
  </si>
  <si>
    <t>Inv. No. ES25F05L002114 dtd. 16.06.2025</t>
  </si>
  <si>
    <t>L/Fee for RDN/BJF 
(Non-Digital)</t>
  </si>
  <si>
    <t>Inv. No. ES25F05L002104 dtd. 16.06.2025</t>
  </si>
  <si>
    <t>L/Fee for RDN/TIHU 
(Non-Digital)</t>
  </si>
  <si>
    <t>Inv. No. ES25F05L002101 dtd. 16.06.2025</t>
  </si>
  <si>
    <t>L/Fee for RDN/JPZ 
(Non-Digital)</t>
  </si>
  <si>
    <t>Inv. No. ES25F05L002103 dtd. 16.06.2025</t>
  </si>
  <si>
    <t>SD forfeited for RDN/GVR (Non-Digital)</t>
  </si>
  <si>
    <t>Inv. No. LM91682910 dtd. 11.12.2024</t>
  </si>
  <si>
    <t>Online 
(30.06.2025)</t>
  </si>
  <si>
    <t xml:space="preserve">SD Money forfeited for ROB/MSMI </t>
  </si>
  <si>
    <t>Inv. No. LM91722173 dtd. 07.02.2025</t>
  </si>
  <si>
    <t>Online (02.06.2025)</t>
  </si>
  <si>
    <t>SD Money forfeited for ROB/BVU</t>
  </si>
  <si>
    <t>Inv. No. LM91722196 dtd. 07.02.2025</t>
  </si>
  <si>
    <t>5th Qtr L/Fee for advt rights for display of Advt at NBQ Stn</t>
  </si>
  <si>
    <t>Inv. No. ES25F05L002120 dtd. 16.06.25</t>
  </si>
  <si>
    <t>L/Fee for PMBJK at RNY</t>
  </si>
  <si>
    <t>Inv. No. ES25F05L001915 dtd. 10.06.2025</t>
  </si>
  <si>
    <t>Coach restaurant at Eco park, Rangiya</t>
  </si>
  <si>
    <t>Inv. No. ES25F05L002255 dtd. 21.06.2025</t>
  </si>
  <si>
    <t>Management of Cloak Room at RNY Station</t>
  </si>
  <si>
    <t>Inv. No. ES25F05L001912 dtd. 10.06.2025</t>
  </si>
  <si>
    <t>Functioning of Rail Coach Restaurant at NCB Station</t>
  </si>
  <si>
    <t>Inv. No. ES25F05L002352 dtd. 25.06.2025</t>
  </si>
  <si>
    <t>Functioning of Rail Coach Restaurant at JPE Station</t>
  </si>
  <si>
    <t>Inv. No. ES25F05L001817 dtd. 06.06.2025</t>
  </si>
  <si>
    <t>Functioning of Rail Coach Restaurant at NMZ Station</t>
  </si>
  <si>
    <t>Inv. No. ES25F05L001816 dtd. 06.06.2025</t>
  </si>
  <si>
    <t>L/Fee for Coach Restaurant at RVK Stn</t>
  </si>
  <si>
    <t>MR No. UZF 86268068 dtd. 23.06.2025</t>
  </si>
  <si>
    <t>23.06.25</t>
  </si>
  <si>
    <t>UTS/APDJ</t>
  </si>
  <si>
    <t>PMBJK at NCB Station</t>
  </si>
  <si>
    <t>Inv. No. ES25F05L000256 dtd. 11.04.2025</t>
  </si>
  <si>
    <t>Display of advt at NJP Station (Outside area)</t>
  </si>
  <si>
    <t>Inv. No. ES25F05L001838 dtd. 07.06.2025</t>
  </si>
  <si>
    <t>Display of advt at Matigara by pass &amp; NJP Station outside circulating area</t>
  </si>
  <si>
    <t>Inv. No. ES25F05L001845 dtd. 07.06.2025</t>
  </si>
  <si>
    <t>Display of advt through Unipole at entrance point of NJP Station</t>
  </si>
  <si>
    <t>Inv. No. ES25F05L002353 dtd. 25.06.2025</t>
  </si>
  <si>
    <t>e-auction for provision for display of advt through Hoarding board in circulating area of RGJ Station</t>
  </si>
  <si>
    <t>Inv. No. ES25F05L002336 dtd. 24.06.2025</t>
  </si>
  <si>
    <t>Provision for display of advt at NJP station on GHY end FOB's</t>
  </si>
  <si>
    <t>Inv. No. ES25F05L001943 dtd. 11.06.2025</t>
  </si>
  <si>
    <t>PMBJK at KIR Station</t>
  </si>
  <si>
    <t>Inv. No. ES25F05L001913 dtd. 10.06.2025</t>
  </si>
  <si>
    <t>PMBJK at NJP Station</t>
  </si>
  <si>
    <t>Inv. No. ES25F05L000640 dtd. 25.04.2025</t>
  </si>
  <si>
    <t>Maintenance and manning of waiting room at KIR Station</t>
  </si>
  <si>
    <t>Inv. No. ES25F05L002040 dtd. 14.06.2025</t>
  </si>
  <si>
    <t>Trolley service at NJP</t>
  </si>
  <si>
    <t>DD No. 502326 dated 26.05.2025</t>
  </si>
  <si>
    <t>06.06.2025</t>
  </si>
  <si>
    <t>DD No. 108310 dated 13.06.2025</t>
  </si>
  <si>
    <t>ATM at New Model Station Building, Katihar</t>
  </si>
  <si>
    <t>ATM at New Model Booking Office,Katihar</t>
  </si>
  <si>
    <t>DD No. 023826 dated 10.06.2025</t>
  </si>
  <si>
    <t>10.06.2025</t>
  </si>
  <si>
    <t>ATM at KNE Station</t>
  </si>
  <si>
    <t>DD No. 267194 dated 26.05.2025</t>
  </si>
  <si>
    <t>02.06.2025</t>
  </si>
  <si>
    <t>July/2025</t>
  </si>
  <si>
    <t>Commercial Advt contract at DBRG, NTSK, DBY, DJG, SLGR &amp; JTTN for a period of 03 years</t>
  </si>
  <si>
    <t>Inv. No. ES25F05L003339 dtd. 30.07.2025</t>
  </si>
  <si>
    <t>Temporary space at South river bank of Bogibeel bridge for eco tourism at DBRG</t>
  </si>
  <si>
    <t>Invoice ID 23072501 dated 23.07.2025</t>
  </si>
  <si>
    <t>MERS</t>
  </si>
  <si>
    <t>PMBJK at NTSK</t>
  </si>
  <si>
    <t>Inv. No. ES25F05L002166 dtd. 18.06.2025</t>
  </si>
  <si>
    <t>E-auction for operation/ display and maintenance of video wall at concourse area of kamakhya station with commercial advertisement rights &amp; display of Railway information on 50-50 time/ screen sharing basis</t>
  </si>
  <si>
    <t>Inv. No. ES25F05L003357 dtd. 31.07.2025</t>
  </si>
  <si>
    <t xml:space="preserve">L/Fee for advt rights through Vinyl wrapping on the inside surface of Jan Shatabdi Exp (12067/68) </t>
  </si>
  <si>
    <t>Bank Transaction ID CHT8997406, dated 02.07.2025</t>
  </si>
  <si>
    <t>Contract for SCL (OOH) terminated &amp; SD money forfeited</t>
  </si>
  <si>
    <t>Application fee for "Installation of Digital cab comparison &amp; booking kiosks with Advertisement display at GHY &amp; KYQ station</t>
  </si>
  <si>
    <t>DD No. 002044 dated 24.06.2025</t>
  </si>
  <si>
    <t>PMBJK at AGTL Station</t>
  </si>
  <si>
    <t>Proposal for calling e-auction for awarding advertisement rights at earmarked circulating area of AGTL station</t>
  </si>
  <si>
    <t>Inv. No. ES25F05L003175 dtd. 25.07.2025</t>
  </si>
  <si>
    <t>L/Fee for RDN/DKGN 
(Non-digital)</t>
  </si>
  <si>
    <t>Inv. No. ES25F05L002881 dtd. 15.07.2025</t>
  </si>
  <si>
    <t>L/Fee for RDN/NBQ 
(Non-digital)</t>
  </si>
  <si>
    <t>Inv. No. ES25F05L002624 dtd. 05.07.2025</t>
  </si>
  <si>
    <t>L/Fee for Advt/BPRD</t>
  </si>
  <si>
    <t>Inv. No. ES25F05L002625 dtd. 12.07.25</t>
  </si>
  <si>
    <t>Penalty for RNY AC waiting hall managament against RM complaint</t>
  </si>
  <si>
    <t>MR No. AZA12866252 dated 25.07.2025</t>
  </si>
  <si>
    <t>25.07.2025</t>
  </si>
  <si>
    <t>UTS/RNY</t>
  </si>
  <si>
    <t>MR No. AZA12866253 dated 25.07.2025</t>
  </si>
  <si>
    <t>Inv. No. ES25F05L003014 dated 19.07.2025</t>
  </si>
  <si>
    <t>Non digital advertising at 58 stations over APDJ division</t>
  </si>
  <si>
    <t>Inv. No. ES25F05L002866 dtd. 14.07.25</t>
  </si>
  <si>
    <t>Advt rights at height gauge at LC gate near Sevok Station, near JPE station &amp; near NCB station</t>
  </si>
  <si>
    <t>Inv. No. ES25F05L002804 dtd. 12.07.2025</t>
  </si>
  <si>
    <t>Installation and functioning of Health ATM at NCB station at PF-01</t>
  </si>
  <si>
    <t>Inv. No. ES25F05L003020 dtd. 20.07.2025</t>
  </si>
  <si>
    <t>L/Fee for Rail Coach Restaurant at Coochbehar Station</t>
  </si>
  <si>
    <t>Inv. No. ES25F05L002521 dtd. 01.07.2025</t>
  </si>
  <si>
    <t>Inv. No. ES25F05L002870 dtd. 14.07.2025</t>
  </si>
  <si>
    <t>Inv. No. ES25F05L003096 dtd. 22.07.2025</t>
  </si>
  <si>
    <t>Inv. No. ES25F05L003000 dtd. 19.07.2025</t>
  </si>
  <si>
    <t>Twin dustbin setup with Advt at NJP &amp; KIR</t>
  </si>
  <si>
    <t>MR No. 01/23711 dated 15.07.2025</t>
  </si>
  <si>
    <t>15.07.2025</t>
  </si>
  <si>
    <t>Inv. No. ES25F05L002914 dtd. 16.07.2025</t>
  </si>
  <si>
    <t xml:space="preserve">Maintenance and manning of NG coach lounge at NJP Station </t>
  </si>
  <si>
    <t>Inv. No. ES25F05L003265 dtd. 28.07.2025</t>
  </si>
  <si>
    <t>Maintenance of waiting room at NJP station</t>
  </si>
  <si>
    <t>Inv. No. ES25F05L003002 dtd. 19.07.2025</t>
  </si>
  <si>
    <t>Maintenance and manning of 1st class waiting room at KIR Station</t>
  </si>
  <si>
    <t>Maintenance and manning of 1st class waiting room at KNE Station</t>
  </si>
  <si>
    <t>Inv. No. ES25F05L002907 dtd. 15.07.2025</t>
  </si>
  <si>
    <t>Maintenance and manning of AC waiting room at ARQ Station</t>
  </si>
  <si>
    <t>Inv. No. ES25F05L002892 dtd. 15.07.2025</t>
  </si>
  <si>
    <t>Maintenance and manning of AC waiting room at PRNA Station</t>
  </si>
  <si>
    <t>Inv. No. ES25F05L002753 dtd. 10.07.2025</t>
  </si>
  <si>
    <t>Management of cloak room at NJP Station</t>
  </si>
  <si>
    <t>Inv. No. ES25F05L002714 dtd. 09.07.2025</t>
  </si>
  <si>
    <t>Inv. No. ES25F05L003295 dtd. 29.07.2025</t>
  </si>
  <si>
    <t>DD No. 108322 dated 25.07.2025</t>
  </si>
  <si>
    <t>28.07.2025</t>
  </si>
  <si>
    <t>Bankers Cheque No. 017669 dated 25.07.2025</t>
  </si>
  <si>
    <t>ATM at FBG station</t>
  </si>
  <si>
    <t>DD No. 249856 dated 21.07.2025</t>
  </si>
  <si>
    <t>29.07.2025</t>
  </si>
  <si>
    <t>Aug/2025</t>
  </si>
  <si>
    <t>Heritage park at NTSK Station</t>
  </si>
  <si>
    <t>DD No. 377139 dated 12.08.2025</t>
  </si>
  <si>
    <t>13.08.2025</t>
  </si>
  <si>
    <t>Camp Office at South Bank of Brahmaputra, Bogibeel, Dibrugarh</t>
  </si>
  <si>
    <t>Inv. No. ES25F05L004254 dtd. 29.08.2025</t>
  </si>
  <si>
    <t>Maintenance and manning of AC waiting room at DMV Station</t>
  </si>
  <si>
    <t>Inv. No. ES25F05L003954 dated 18.08.2025</t>
  </si>
  <si>
    <t>Maintenance and manning of AC Executive Lounge at GHY Station</t>
  </si>
  <si>
    <t>Inv. No. ES25F05L003653 dated 08.08.2025</t>
  </si>
  <si>
    <t>Management of AC Dormitories and AC Retiring rooms at KYQ Station</t>
  </si>
  <si>
    <t>Inv. No. ES25F05L003874 dated 15.08.2025</t>
  </si>
  <si>
    <t>E-auction for awarding advertisement rights at earmarked area (Inside) of various stations (Non-Digital)</t>
  </si>
  <si>
    <t>E-auction for awarding advertisement rights at earmarked circulating area of various stations</t>
  </si>
  <si>
    <t>Setting up of Café cum Restaurant inside PCE Garden, N.F.Railway, HQ complex</t>
  </si>
  <si>
    <t>MERS Bank Transaction ID No. CPAFOMGVD2 dated 29.08.2025</t>
  </si>
  <si>
    <t>E-auction for Commercial advertisement rights through Vinyl wrapping on GHY-OKHA Express (15636/15635) integrated with GHY-LTT Express (15648/15647)</t>
  </si>
  <si>
    <t>Inv. No. ES25F05L004154 dtd. 25.08.2025</t>
  </si>
  <si>
    <t>Application fee for “Setting up Rapido booking kiosk at GHY Station</t>
  </si>
  <si>
    <t>DD No. 547483 dated 19.08.2025</t>
  </si>
  <si>
    <t>19.08.2025</t>
  </si>
  <si>
    <t>L/Fee for RDN/BNGN 
(Non-Digital)</t>
  </si>
  <si>
    <t>Inv. No. ES25F05L003396 dtd. 03.08.2025</t>
  </si>
  <si>
    <t>L/Fee for RDN/NHLN 
(Non-Digital)</t>
  </si>
  <si>
    <t>L/Fee for RDN/RNY 
(Non-Digital)</t>
  </si>
  <si>
    <t>Inv. No. ES25F05L003399 dtd. 04.08.2025</t>
  </si>
  <si>
    <t>Inv. No. ES25F05L003397 dtd. 03.08.2025</t>
  </si>
  <si>
    <t>L/Fee for RDN/RNY (Digital)</t>
  </si>
  <si>
    <t>L/Fee for RDN/NBQ (Digital)</t>
  </si>
  <si>
    <t>L/Fee for additional space against RDN/RNY (Digital)</t>
  </si>
  <si>
    <t>L/Fee for additional space against RDN/NBQ (Digital)</t>
  </si>
  <si>
    <t>Inv. No. ES25F05L004202 dtd. 27.08.2025</t>
  </si>
  <si>
    <t>Inv. No. ES25F05L004201 dtd. 27.08.2025</t>
  </si>
  <si>
    <t>MeRS Bank Transaction ID No. CHU4602970 dated 27.08.2025</t>
  </si>
  <si>
    <t>MeRS Bank Transaction ID No. CHU4602027 dated 27.08.2025</t>
  </si>
  <si>
    <t>Forfeiture of EMD for advertisement RNY</t>
  </si>
  <si>
    <t>Inv. No. LM91654488 dated 14.08.2025</t>
  </si>
  <si>
    <t>Online (21.10.2024)</t>
  </si>
  <si>
    <t>Maintenance and manning of AC waiting room of RNY Station</t>
  </si>
  <si>
    <t>Inv. No. ES25F05L004186 dtd. 31.08.2025</t>
  </si>
  <si>
    <t>Sole rights for OOH advt at 58 stations circulating area over APDJ Station</t>
  </si>
  <si>
    <t>Inv. No. ES25F05L003774 dtd. 12.08.2025</t>
  </si>
  <si>
    <t>Inv. No. ES25F05L003395 dtd. 01.08.2025</t>
  </si>
  <si>
    <t>Manning and maintenance of AC waiting room at NOQ and NCB Station</t>
  </si>
  <si>
    <t>Inv. No. ES25F05L003385 dtd. 01.08.2025</t>
  </si>
  <si>
    <t>Inv. No. ES25F05L003831 dtd. 14.08.2025</t>
  </si>
  <si>
    <t>Inv. No. ES25F05L003633 dtd. 07.08.2025</t>
  </si>
  <si>
    <t>Inv. No. ES25F05L003902 dtd. 16.08.2025</t>
  </si>
  <si>
    <t>Inv. No. ES25F05L003783 dtd. 12.08.2025</t>
  </si>
  <si>
    <t>Provision of Rail coach restaurant at circulating area of Malda Court Railway Station</t>
  </si>
  <si>
    <t>Inv. No. ES25F05L003814 dtd. 13.08.2025</t>
  </si>
  <si>
    <t xml:space="preserve">Maintenance and operation of AC waiting room at JBN Station </t>
  </si>
  <si>
    <t>Inv. No. ES25F05L003892 dtd. 16.08.2025</t>
  </si>
  <si>
    <t>Maintenance and operation of waiting room at RGJ Station</t>
  </si>
  <si>
    <t>Inv. No. ES25F05L004011 dtd. 20.08.2025</t>
  </si>
  <si>
    <t>Maintenance and operation of waiting hall at BOE Station</t>
  </si>
  <si>
    <t>Inv. No. ES25F05L004144 dtd. 25.08.2025</t>
  </si>
  <si>
    <t>Maintenance of AC Executive Lounge at SGUJ Station</t>
  </si>
  <si>
    <t>Inv. No. ES25F05L004179 dtd. 26.08.2025</t>
  </si>
  <si>
    <t>Inv. No. ES25F05L004242 dtd. 28.08.2025</t>
  </si>
  <si>
    <t>Maintenance and operation of AC Executive Lounge at KIR Station</t>
  </si>
  <si>
    <t>Inv. No. ES25F05L004256 dtd. 29.08.2025</t>
  </si>
  <si>
    <t>ATM at Raiganj Station</t>
  </si>
  <si>
    <t>DD No. 004869 dated 24.07.2025</t>
  </si>
  <si>
    <t>05.08.2025</t>
  </si>
  <si>
    <t>Sept/2025</t>
  </si>
  <si>
    <t>Inv. No. ES25F05L004952 dtd. 19.09.2025</t>
  </si>
  <si>
    <t>Inv. No. ES25F05L004700 dtd. 11.09.2025</t>
  </si>
  <si>
    <t>Inv. No. ES25F05L005197 dtd. 26.09.2025</t>
  </si>
  <si>
    <t>Inv. No. ES25F05L004818 dtd. 15.09.2025</t>
  </si>
  <si>
    <t>Inv. No. ES25F05L004709 dtd. 11.09.2025</t>
  </si>
  <si>
    <t>ATM at KGN Station</t>
  </si>
  <si>
    <t>MR No. 23714/10 dated 16.09.2025</t>
  </si>
  <si>
    <t>Cash Office/NJP</t>
  </si>
  <si>
    <t>ATM at NJP Station</t>
  </si>
  <si>
    <t>DD No. 157572 dated 03.09.2025</t>
  </si>
  <si>
    <t>05.09.2025</t>
  </si>
  <si>
    <t>Inv. No. ES25F05L004439 dtd. 03.09.2025</t>
  </si>
  <si>
    <t>Inv. No. ES25F05L004440 dtd. 03.09.2025</t>
  </si>
  <si>
    <t>1st Qtr L/Fee for NLV (Non-Digital)</t>
  </si>
  <si>
    <t>Inv. No. ES25F05L004468 dtd. 04.09.2025</t>
  </si>
  <si>
    <t>1st Qtr L/Fee for NBQ (Non-Digital)</t>
  </si>
  <si>
    <t>Inv. No. ES25F05L004485 dtd. 05.09.2025</t>
  </si>
  <si>
    <t>4th Qtr L/Fee for HMY (Non-Digital)</t>
  </si>
  <si>
    <t>Inv. No. ES25F05L004673 dtd. 15.09.2025</t>
  </si>
  <si>
    <t>4th Qtr L/Fee for MRZA (Non-Digital)</t>
  </si>
  <si>
    <t>Inv. No. ES25F05L004675 dtd. 15.09.2025</t>
  </si>
  <si>
    <t>4th Qtr L/Fee for ULG (Non-Digital)</t>
  </si>
  <si>
    <t>Inv. No. ES25F05L004681 dtd. 15.09.2025</t>
  </si>
  <si>
    <t>4th Qtr L/Fee for BIZ (Non-Digital)</t>
  </si>
  <si>
    <t>Inv. No. ES25F05L004692 dtd. 15.09.2025</t>
  </si>
  <si>
    <t>4th Qtr L/Fee for RWTB (Non-Digital)</t>
  </si>
  <si>
    <t>Inv. No. ES25F05L004674 dtd. 15.09.2025</t>
  </si>
  <si>
    <t>4th Qtr L/Fee for DPRA (Non-Digital)</t>
  </si>
  <si>
    <t>Inv. No. ES25F05L004677 dtd. 15.09.2025</t>
  </si>
  <si>
    <t>4th Qtr L/Fee for TNL (Non-Digital)</t>
  </si>
  <si>
    <t>Inv. No. ES25F05L004691 dtd. 15.09.2025</t>
  </si>
  <si>
    <t>4th Qtr L/Fee for DDNI (Non-Digital)</t>
  </si>
  <si>
    <t>Inv. No. ES25F05L004671 dtd. 15.09.2025</t>
  </si>
  <si>
    <t>4th Qtr L/Fee for KRNI (Non-Digital)</t>
  </si>
  <si>
    <t>Inv. No. ES25F05L004693 dtd. 15.09.2025</t>
  </si>
  <si>
    <t>4th Qtr L/Fee for GLPT (Non-Digital)</t>
  </si>
  <si>
    <t>Inv. No. ES25F05L004672 dtd. 15.09.2025</t>
  </si>
  <si>
    <t>4th Qtr L/Fee for PBL (Non-Digital)</t>
  </si>
  <si>
    <t>Inv. No. ES25F05L004670 dtd. 15.09.2025</t>
  </si>
  <si>
    <t>4th Qtr L/Fee for SBE (Non-Digital)</t>
  </si>
  <si>
    <t>Inv. No. ES25F05L004678 dtd. 15.09.2025</t>
  </si>
  <si>
    <t>4th Qtr L/Fee for BVU (Non-Digital)</t>
  </si>
  <si>
    <t>Inv. No. ES25F05L004676 dtd. 15.09.2025</t>
  </si>
  <si>
    <t>4th Qtr L/Fee for AYU (Non-Digital)</t>
  </si>
  <si>
    <t>Inv. No. ES25F05L004695 dtd. 15.09.2025</t>
  </si>
  <si>
    <t>4th Qtr L/Fee for VNE (Non-Digital)</t>
  </si>
  <si>
    <t>Inv. No. ES25F05L004679 dtd. 15.09.2025</t>
  </si>
  <si>
    <t>4th Qtr L/Fee for BJF (Non-Digital)</t>
  </si>
  <si>
    <t>Inv. No. ES25F05L004680 dtd. 15.09.2025</t>
  </si>
  <si>
    <t>4th Qtr L/Fee for TIHU (Non-Digital)</t>
  </si>
  <si>
    <t>Inv. No. ES25F05L004694 dtd. 15.09.2025</t>
  </si>
  <si>
    <t>4th Qtr L/Fee for JPZ (Non-Digital)</t>
  </si>
  <si>
    <t>Inv. No. ES25F05L004682 dtd. 15.09.2025</t>
  </si>
  <si>
    <t>3rd  Qtr L/Fee for BPRD (Non-Digital)</t>
  </si>
  <si>
    <t>Inv. No. ES25F05L005143 dtd. 26.09.2025</t>
  </si>
  <si>
    <t>EMD forfeiture for RDN/CGS (Non-Digital)</t>
  </si>
  <si>
    <t>Inv. No. LM91682876 dtd. 11.12.2024</t>
  </si>
  <si>
    <t>Online 
(26.09.2025)</t>
  </si>
  <si>
    <t>6th Qtr L/Fee for NBQ</t>
  </si>
  <si>
    <t>Inv. No. ES25F05L004883 dtd. 17.09.25</t>
  </si>
  <si>
    <t>Forfeiture of SD submitted by All Assam Transgender Association</t>
  </si>
  <si>
    <t>FD No. 50301195319397 dated 31.07.2025</t>
  </si>
  <si>
    <t>09.09.2025</t>
  </si>
  <si>
    <t>Manual</t>
  </si>
  <si>
    <t xml:space="preserve">5th Qtr L/Fee for PMBJK at RNY </t>
  </si>
  <si>
    <t>Inv. No. ES25F05L005036 dtd. 15.09.2025</t>
  </si>
  <si>
    <t>3rd Qtr L/Fee for Rail Coach Restaurant at RNY</t>
  </si>
  <si>
    <t>Inv. No. ES25F05L004879 dtd. 16.09.2025</t>
  </si>
  <si>
    <t>Forfeiture of EMD against AC waiting Hall at RNY</t>
  </si>
  <si>
    <t>Inv. No. LM91805411 dated 26.05.2025</t>
  </si>
  <si>
    <t>Online (09.09.2025)</t>
  </si>
  <si>
    <t>Inv. No. ES25F05L004669 dtd. 11.09.2025</t>
  </si>
  <si>
    <t>Advertisement rights at earmarked area of AGTL Station (Inside)</t>
  </si>
  <si>
    <t>Inv. No. ES25F05L004717 dtd. 12.09.2025</t>
  </si>
  <si>
    <t>E-auction for awarding advertisement rights at earmarked area of SCL Station (Inside)</t>
  </si>
  <si>
    <t>Inv. No. ES25F05L004826 dtd. 15.09.2025</t>
  </si>
  <si>
    <t>Inv. No. ES25F05L005202 dated 26.09.2025</t>
  </si>
  <si>
    <t>Inv. No. ES25F05L005162 dtd. 25.09.2025</t>
  </si>
  <si>
    <t>Inv. No. ES25F05L005157 dtd. 25.09.2025</t>
  </si>
  <si>
    <t>E-auction for awarding advt rights at earmarked area of Jogendranagar Station (Inside)</t>
  </si>
  <si>
    <t>Inv. No. ES25F05L005159 dtd. 25.09.2025</t>
  </si>
  <si>
    <t>Inv. No. ES25F05L005160 dtd. 25.09.2025</t>
  </si>
  <si>
    <t>Inv. No. ES25F05L005158 dtd. 25.09.2025</t>
  </si>
  <si>
    <t>Inv. No. ES25F05L005155 dtd. 25.09.2025</t>
  </si>
  <si>
    <t>E-auction for awarding advt rights at earmarked area of LMG Station and circulating area</t>
  </si>
  <si>
    <t>Inv. No. ES25F05L005139 dtd. 25.09.2025</t>
  </si>
  <si>
    <t>E-auction for awarding advt rights at earmarked area of DMV Station (outside)</t>
  </si>
  <si>
    <t>Inv. No. ES25F05L005141 dtd. 25.09.2025</t>
  </si>
  <si>
    <t>Inv. No. ES25F05L005142 dtd. 25.09.2025</t>
  </si>
  <si>
    <t>Inv. No. ES25F05L005140 dtd. 25.09.2025</t>
  </si>
  <si>
    <t>Inv. No. ES25F05L004697 dtd. 11.09.2025</t>
  </si>
  <si>
    <t>PMBJK at NTSK Station</t>
  </si>
  <si>
    <t>Inv. No. ES25F05L004893 dtd. 17.09.2025</t>
  </si>
  <si>
    <t>Inv. No. ES25F05L004469 dtd. 04.09.2025</t>
  </si>
  <si>
    <t>Inv. No. ES25F05L004696 dtd. 11.09.2025</t>
  </si>
  <si>
    <t xml:space="preserve">L/Fee for 1st year 1st Installment of the Amusement Park cum Tourist Refreshment center at South Bank of river Brahmaputra, Bogibeel, Dibrugarh </t>
  </si>
  <si>
    <t>DD No. 003428 dated 08.09.2025</t>
  </si>
  <si>
    <t>12.09.2025</t>
  </si>
  <si>
    <t>L/Fee for 1st year 1st Installment of the Day Care Center at Hijiguri, Tinsukia</t>
  </si>
  <si>
    <t>DD No. 709399 dated 21.08.2025</t>
  </si>
  <si>
    <t>02.09.2025</t>
  </si>
  <si>
    <t>Oct/2025</t>
  </si>
  <si>
    <t>Commercial Advt contract at 06 Stations</t>
  </si>
  <si>
    <t>Inv. No. ES25F05L006148 dtd. 30.10.2025</t>
  </si>
  <si>
    <t>1st Year L/Fee for Roots &amp;Relics at Bogibeel, Dhemaji</t>
  </si>
  <si>
    <t>DD No. 235388 dated 07.10.2025</t>
  </si>
  <si>
    <t>08.10.2025</t>
  </si>
  <si>
    <t>Penalty payment of Day care center at Hijiguri, Tinsukia</t>
  </si>
  <si>
    <t>DD No. 709398 dated 28.10.2025</t>
  </si>
  <si>
    <t>29.10.2025</t>
  </si>
  <si>
    <t>L/Fee for Aggregrate cum Transport Solution, Dibrugarh Town</t>
  </si>
  <si>
    <t>DD No. 024105 dated 30.10.2025</t>
  </si>
  <si>
    <t>31.10.2025</t>
  </si>
  <si>
    <t>ATM at DJG Station</t>
  </si>
  <si>
    <t>DD No. 310536 dated 13.10.2025</t>
  </si>
  <si>
    <t>15.10.2025</t>
  </si>
  <si>
    <t>Inv. No. ES25F05L005991 dtd. 25.10.2025</t>
  </si>
  <si>
    <t xml:space="preserve">Application fee for setting up pickleball courts at GHY &amp; KYQ Station </t>
  </si>
  <si>
    <t>DD No. 003586 dated 27.10.2025</t>
  </si>
  <si>
    <t>27.10.2025</t>
  </si>
  <si>
    <t>Inv. No. ES25F05L005767 dated 16.10.2025</t>
  </si>
  <si>
    <t>Inv. No. ES25F05L005930 dtd. 24.10.2025</t>
  </si>
  <si>
    <t>Inv. No. ES25F05L005457 dtd. 06.10.2025</t>
  </si>
  <si>
    <t>Inv. No. ES25F05L005708 dtd. 12.10.25</t>
  </si>
  <si>
    <t>Non digital advertising at 58 stations over APDJ division under Sole right contract</t>
  </si>
  <si>
    <t>Inv. No. ES25F05L005608 dtd. 10.10.25</t>
  </si>
  <si>
    <t>Inv. No. ES25F05L005647 dtd. 11.10.2025</t>
  </si>
  <si>
    <t>Inv. No. ES25F05L005746 dtd. 15.10.2025</t>
  </si>
  <si>
    <t>Functioning of Banking service at MFC building ground floor by SBI/APDJ</t>
  </si>
  <si>
    <t>DD No. 627179 dated 14.10.2025</t>
  </si>
  <si>
    <t>22.10.2025</t>
  </si>
  <si>
    <t>Inv. No. ES25F05L005459 dtd. 06.10.2025</t>
  </si>
  <si>
    <t>Inv. No. ES25F05L005870 dtd. 20.10.2025</t>
  </si>
  <si>
    <t>AC waiting room at NCB station</t>
  </si>
  <si>
    <t>Transaction ID No. CK00KXIKX1 dated 23.09.2025</t>
  </si>
  <si>
    <t>SBI/ATM at APDJ Stn</t>
  </si>
  <si>
    <t>DD No. 627180 dated 15.10.2025</t>
  </si>
  <si>
    <t>Inv. No. ES25F05L005871 dtd. 20.10.2025</t>
  </si>
  <si>
    <t>Inv. No. ES25F05L005956 dtd. 23.10.2025</t>
  </si>
  <si>
    <t>Inv. No. ES25F05L005979 dtd. 24.10.2025</t>
  </si>
  <si>
    <t>Operation and management of Cloak Room at NJP Station</t>
  </si>
  <si>
    <t>Inv. No. ES25F05L005557 dtd. 09.10.2025</t>
  </si>
  <si>
    <t>Upgradation, maintenance and manning of AC waiting rooms at PRNA Station</t>
  </si>
  <si>
    <t>Inv. No. ES25F05L005604 dtd. 10.10.2025</t>
  </si>
  <si>
    <t>upgradation, maintenance and manning of First class waiting rooms at KIR Station</t>
  </si>
  <si>
    <t>Inv. No. ES25F05L005740 dtd. 15.10.2025</t>
  </si>
  <si>
    <t>upgradation, maintenance and manning of AC waiting rooms at ARQ Station</t>
  </si>
  <si>
    <t>Inv. No. ES25F05L005771 dtd. 16.10.2025</t>
  </si>
  <si>
    <t>upgradation, maintenance and operation of waiting rooms at NJP Station</t>
  </si>
  <si>
    <t>Inv. No. ES25F05L005901 dtd. 21.10.2025</t>
  </si>
  <si>
    <t>Rail coach restaurant at KIR Stn</t>
  </si>
  <si>
    <t>MR No. 047199 dated 18.10.2025</t>
  </si>
  <si>
    <t>18.10.2025</t>
  </si>
  <si>
    <t>Divl. Cash Office/KIR</t>
  </si>
  <si>
    <t>Rail coach restaurant at DJ Stn</t>
  </si>
  <si>
    <t>MR No. 23708 dated 05.06.2025</t>
  </si>
  <si>
    <t>05.06.2025</t>
  </si>
  <si>
    <t>Divl. Cash Office/NJP</t>
  </si>
  <si>
    <t>Nov/2025</t>
  </si>
  <si>
    <t>ATM/NTSK</t>
  </si>
  <si>
    <t>DD No. 098332 dated 16.10.2025</t>
  </si>
  <si>
    <t>07.11.2025</t>
  </si>
  <si>
    <t>ATM/FKG</t>
  </si>
  <si>
    <t>DD No. 215517 dated 07.11.2025</t>
  </si>
  <si>
    <t>17.11.2025</t>
  </si>
  <si>
    <t>e-auction for awarding advt rights at earmarked area (Inside) of various stations</t>
  </si>
  <si>
    <t>e-auction for awarding advt rights at rights at earmarked area (outside) of HJI Station</t>
  </si>
  <si>
    <t>Inv. No. ES25F05L006753 dtd. 19.11.2025</t>
  </si>
  <si>
    <t>e-auction for awarding advt rights at earmarked area (Inside) of HJI Station</t>
  </si>
  <si>
    <t>e-auction for awarding advt rights at rights at earmarked area (outside) of DMV Station</t>
  </si>
  <si>
    <t>Inv. No. ES25F05L006921 dtd. 26.11.2025</t>
  </si>
  <si>
    <t>e-auction for awarding advt rights at earmarked area (Inside) of AGTL Station</t>
  </si>
  <si>
    <t>Inv. No. ES25F05L006884 dtd. 24.11.2025</t>
  </si>
  <si>
    <t>e-auction for awarding advt rights at rights at earmarked area (outside) of AGTL Station</t>
  </si>
  <si>
    <t>Inv. No. ES25F05L006306 dtd. 04.11.2025</t>
  </si>
  <si>
    <t>Manning and maintenance of waiting rooms at DMV, GHY &amp; KYQ Stations</t>
  </si>
  <si>
    <t>ATM/LMG</t>
  </si>
  <si>
    <t>DD No. 743162 dtd 06.11.2025</t>
  </si>
  <si>
    <t>14.11.2025</t>
  </si>
  <si>
    <t>Inv. No. ES25F05L006235 dtd. 03.11.2025</t>
  </si>
  <si>
    <t>L/Fee for RDN/RNY (Non-Digital)</t>
  </si>
  <si>
    <t>Inv. No. ES25F05L006234 dtd. 03.11.2025</t>
  </si>
  <si>
    <t>Inv. No. ES25F05L006236 dtd. 04.11.2025</t>
  </si>
  <si>
    <t>L/Fee for AC waiting Hall management at RNY</t>
  </si>
  <si>
    <t>Inv. No. ES25F05L006965 dtd. 30.11.2025</t>
  </si>
  <si>
    <t>Inv. No. ES25F05L006530 dtd. 11.11.2025</t>
  </si>
  <si>
    <t>Annual L/Fee for OOH Advt at ROB 102A in between Falakata and Gumanihat Railway Stn</t>
  </si>
  <si>
    <t>Bank Transaction ID CPAFWTAOZ1 dated 13.11.2025</t>
  </si>
  <si>
    <t>Annual L/Fee for OOH Advt at ROB 72 in between Altagram and Dhupguri Rly Stn</t>
  </si>
  <si>
    <t>Bank Transaction ID CPAFWTBBG4 dated 13.11.2025</t>
  </si>
  <si>
    <t>Inv. No. ES25F05L006274 dtd. 03.11.2025</t>
  </si>
  <si>
    <t>Inv. No. ES25F05L006642 dtd. 15.11.2025</t>
  </si>
  <si>
    <t>Inv. No. ES25F05L006565 dtd. 12.11.2025</t>
  </si>
  <si>
    <t>Inv. No. ES25F05L006680 dtd. 17.11.2025</t>
  </si>
  <si>
    <t>Inv. No. ES25F05L006563 dtd. 12.11.2025</t>
  </si>
  <si>
    <t>Rail coach restaurant at Raiganj Stn</t>
  </si>
  <si>
    <t>Inv. No. ES25F05L006307 dtd. 04.11.2025</t>
  </si>
  <si>
    <t>Maintenance and manning of NG Coach Lounge</t>
  </si>
  <si>
    <t>Inv. No. ES25F05L006378 dtd. 06.11.2025</t>
  </si>
  <si>
    <t>Rail coach restaurant at Malda Court Rly Stn</t>
  </si>
  <si>
    <t>Inv. No. ES25F05L006595 dtd. 13.11.2025</t>
  </si>
  <si>
    <t>Maintenance and operation of AC waiting room at JBN Station</t>
  </si>
  <si>
    <t>Inv. No. ES25F05L006628 dtd. 15.11.2025</t>
  </si>
  <si>
    <t>Maintenance and Operation of Waiting hall at Raiganj  Station</t>
  </si>
  <si>
    <t>Inv. No. ES25F05L006672 dtd. 17.11.2025</t>
  </si>
  <si>
    <t>Maintenance and Operation of waiting hall at BOE Station</t>
  </si>
  <si>
    <t>Inv. No. ES25F05L006865 dtd. 24.11.2025</t>
  </si>
  <si>
    <t>Inv. No. ES25F05L006876 dtd. 24.11.2025</t>
  </si>
  <si>
    <t>ATM at New Model Booking Office, Adjacent to RPF Office, Katihar</t>
  </si>
  <si>
    <t>Bankers Cheque No. 019372 dtd. 19.11.2025</t>
  </si>
  <si>
    <t>20.11.2025</t>
  </si>
  <si>
    <t>Dec/2025</t>
  </si>
  <si>
    <t>Inv. No. ES25F05L007542 dtd. 18.12.2025</t>
  </si>
  <si>
    <t>SD forfeit for Vinyl wrapping contract at 22501/22502 for the period of 03 years</t>
  </si>
  <si>
    <t>Transaction ID - LM91636366 dtd. 25.09.2024</t>
  </si>
  <si>
    <t>SD forfeit for Advt Comml Contract for display of 11 Nos. of hoarding boards</t>
  </si>
  <si>
    <t>Transaction ID - LM91880284 dtd. 18.08.2025</t>
  </si>
  <si>
    <t>Inv. No. ES25F05L007335 dtd. 11.12.2025</t>
  </si>
  <si>
    <t>Inv. No. ES25F05L007074 dtd. 02.12.2025</t>
  </si>
  <si>
    <t>Comml Advt Contract at 39 Stations over TSK Divn</t>
  </si>
  <si>
    <t>Transaction ID - CHV6243722 dtd. 23.12.2025</t>
  </si>
  <si>
    <t>SD forfeit of Camp Office at South Bank of Brahmaputra, Bogibeel, Dibrugarh</t>
  </si>
  <si>
    <t>Transaction ID - LM91878595 dtd. 14.08.2025</t>
  </si>
  <si>
    <t>EMD forfeit of Rapido pick up points at DBRG, JTTN &amp; MXN Station</t>
  </si>
  <si>
    <t>Transaction ID - 190625759 dtd. 08.12.2025</t>
  </si>
  <si>
    <t>Godown and shed area at JTTN Railway Goods yard</t>
  </si>
  <si>
    <t>Inv. No. ES25F05L007692 dtd. 23.12.2025</t>
  </si>
  <si>
    <t>Inv. No. ES25F05L007500 dtd. 17.12.2025</t>
  </si>
  <si>
    <t>e-auction for awarding advt rights at earmarked area (inside) of KYQ Station</t>
  </si>
  <si>
    <t>Inv. No. ES25F05L007254 dtd. 09.12.2025</t>
  </si>
  <si>
    <t>e-auction for awarding advt rights at earmarked area (inside) of SCL Station</t>
  </si>
  <si>
    <t>Inv. No. ES25F05L007485 dtd. 16.12.2025</t>
  </si>
  <si>
    <t>Inv. No. ES25F05L007776 dated 26.12.2025</t>
  </si>
  <si>
    <t>4th year L/Fee for Advt right Vinyl Wrapping on the outer surface of 12067/12068 (outside)</t>
  </si>
  <si>
    <t>DD No. 543035 dtd. 14.11.2025</t>
  </si>
  <si>
    <t>10.12.2025</t>
  </si>
  <si>
    <t>1st year L/Fee for Rapido booking kiosk at GHY</t>
  </si>
  <si>
    <t>Bank Transaction ID CPAFYUHAR7 dated 03.12.2025</t>
  </si>
  <si>
    <t>Application fee for "Installation of car washing point near the pay &amp; use toilet at the circulating area of GHY Station</t>
  </si>
  <si>
    <t>DD No. 900227 dated 02.12.2025</t>
  </si>
  <si>
    <t>02.12.2025</t>
  </si>
  <si>
    <t>e-auction for awarding advt rights at earmarked area (inside) of KUGT Station</t>
  </si>
  <si>
    <t>Inv. No. ES25F05L007842 dtd. 29.12.2025</t>
  </si>
  <si>
    <t>e-auction for awarding advt rights at earmarked area (inside) of Belonia Station</t>
  </si>
  <si>
    <t>Inv. No. ES25F05L007843 dtd. 29.12.2025</t>
  </si>
  <si>
    <t>e-auction for awarding advt rights at earmarked area (inside) of Udaipur Station</t>
  </si>
  <si>
    <t>Inv. No. ES25F05L007845 dtd. 29.12.2025</t>
  </si>
  <si>
    <t>e-auction for awarding advt rights at earmarked area (inside) of Jogendra Nagar Station</t>
  </si>
  <si>
    <t>Inv. No. ES25F05L007844 dtd. 29.12.2025</t>
  </si>
  <si>
    <t>e-auction for awarding advt rights at earmarked area (inside) of Ambassa Station</t>
  </si>
  <si>
    <t>Inv. No. ES25F05L007841 dtd. 29.12.2025</t>
  </si>
  <si>
    <t>e-auction for awarding advt rights at earmarked area (inside) of Dharmanagar Station</t>
  </si>
  <si>
    <t>Inv. No. ES25F05L007840 dtd. 29.12.2025</t>
  </si>
  <si>
    <t>Proposal for calling e-auction for advertisement rights at GHY Station for a period of 05 years</t>
  </si>
  <si>
    <t>Inv. No. ES25F05L007931 dtd. 31.12.2025</t>
  </si>
  <si>
    <t>L/Fee for RDN-NLV (Non-Digital)</t>
  </si>
  <si>
    <t>Inv. No. ES25F05L007075 dtd. 04.12.2025</t>
  </si>
  <si>
    <t>L/Fee for RDN-MRZA (Non-Digital)</t>
  </si>
  <si>
    <t>Inv. No. ES25F05L007333 dtd. 15.12.2025</t>
  </si>
  <si>
    <t>L/Fee for RDN-HMY (Non-Digital)</t>
  </si>
  <si>
    <t>L/Fee for RDN-DDNI (Non-Digital)</t>
  </si>
  <si>
    <t>L/Fee for RDN-PBL (Non-Digital)</t>
  </si>
  <si>
    <t>Inv. No. ES25F05L007332 dtd. 15.12.2025</t>
  </si>
  <si>
    <t>Inv. No. ES25F05L070331 dtd. 15.12.2025</t>
  </si>
  <si>
    <t>Inv. No. ES25F05L007330 dtd. 15.12.2025</t>
  </si>
  <si>
    <t>L/Fee for RDN-GLPT (Non-Digital)</t>
  </si>
  <si>
    <t>Inv. No. ES25F05L007329 dtd. 15.12.2025</t>
  </si>
  <si>
    <t>L/Fee for RDN-RWTB (Non-Digital)</t>
  </si>
  <si>
    <t>Inv. No. ES25F05L007389 dtd. 15.12.2025</t>
  </si>
  <si>
    <t>L/Fee for RDN-SBE (Non-Digital)</t>
  </si>
  <si>
    <t>Inv. No. ES25F05L007324 dtd. 15.12.2025</t>
  </si>
  <si>
    <t>L/Fee for RDN-BJF (Non-Digital)</t>
  </si>
  <si>
    <t>Inv. No. ES25F05L007323 dtd. 15.12.2025</t>
  </si>
  <si>
    <t>L/Fee for RDN-JPZ (Non-Digital)</t>
  </si>
  <si>
    <t>Inv. No. ES25F05L007322 dtd. 15.12.2025</t>
  </si>
  <si>
    <t>L/Fee for RDN-DPRA (Non-Digital)</t>
  </si>
  <si>
    <t>Inv. No. ES25F05L007334 dtd. 15.12.2025</t>
  </si>
  <si>
    <t>L/Fee for RDN-BIZ (Non-Digital)</t>
  </si>
  <si>
    <t>Inv. No. ES25F05L007318 dtd. 15.12.2025</t>
  </si>
  <si>
    <t>L/Fee for RDN-TIHU (Non-Digital)</t>
  </si>
  <si>
    <t>Inv. No. ES25F05L007317 dtd. 15.12.2025</t>
  </si>
  <si>
    <t>L/Fee for RDN-AYU (Non-Digital)</t>
  </si>
  <si>
    <t>Inv. No. ES25F05L007315 dtd. 15.12.2025</t>
  </si>
  <si>
    <t>L/Fee for RDN-KRNI (Non-Digital)</t>
  </si>
  <si>
    <t>Inv. No. ES25F05L007314 dtd. 15.12.2025</t>
  </si>
  <si>
    <t>L/Fee for RDN-TNL (Non-Digital)</t>
  </si>
  <si>
    <t>Inv. No. ES25F05L007312 dtd. 15.12.2025</t>
  </si>
  <si>
    <t>L/Fee for RDN-ULG (Non-Digital)</t>
  </si>
  <si>
    <t>Inv. No. ES25F05L007310 dtd. 15.12.2025</t>
  </si>
  <si>
    <t>L/Fee for RDN-VNE (Non-Digital)</t>
  </si>
  <si>
    <t>Inv. No. ES25F05L007313 dtd. 15.12.2025</t>
  </si>
  <si>
    <t>L/Fee for RDN-BVU (Non-Digital)</t>
  </si>
  <si>
    <t>Inv. No. ES25F05L007326 dtd. 15.12.2025</t>
  </si>
  <si>
    <t>L/Fee for RDN-BPRD (Non-Digital)</t>
  </si>
  <si>
    <t>Inv. No. ES25F05L007786 dtd. 27.12.2025</t>
  </si>
  <si>
    <t>EMD forfeiture for RDN-NBQ (Non-Digital)</t>
  </si>
  <si>
    <t>Trans ID -LM91883131 dtd. 21.08.2025</t>
  </si>
  <si>
    <t>Online 
(12.12.2025)</t>
  </si>
  <si>
    <t>L/Fee for RDN-RNY (Digital)</t>
  </si>
  <si>
    <t>Inv. No. ES25F05L007034 dtd. 02.12.2025</t>
  </si>
  <si>
    <t>L/Fee for RDN-NBQ (Digital)</t>
  </si>
  <si>
    <t>Inv. No. ES25F05L006933 dtd. 02.12.2025</t>
  </si>
  <si>
    <t>L/Fee for Advt at NBQ</t>
  </si>
  <si>
    <t>Inv. No. ES25F05L007543 dtd. 20.12.25</t>
  </si>
  <si>
    <t>L/Fee for AC waiting Hall management at NBQ</t>
  </si>
  <si>
    <t>Inv. No. ES25F05L007816 dtd. 25.12.2025</t>
  </si>
  <si>
    <t>Inv. No. ES25F05L007783 dtd. 26.12.2025</t>
  </si>
  <si>
    <t>Inv. No. ES25F05L007576 dtd. 20.12.2025</t>
  </si>
  <si>
    <t>Inv. No. ES25F05L007522 dtd. 17.12.2025</t>
  </si>
  <si>
    <t>3rd year L/Fee for Rail Coach Restaurant at KOJ</t>
  </si>
  <si>
    <t>Transaction ID No. CPAGARRII6 dated 18.12.2025</t>
  </si>
  <si>
    <t>e-auction for provision of display of advt through Hoarding Board at Matigara bye pass area</t>
  </si>
  <si>
    <t>Inv. No. ES25F05L007618 dtd. 21.12.2025</t>
  </si>
  <si>
    <t>Inv. No. ES25F05L007270 dtd. 10.12.2025</t>
  </si>
  <si>
    <t>Inv. No. ES25F05L007719 dtd. 24.12.2025</t>
  </si>
  <si>
    <t>3rd year L/Fee for Vinyl Wrapping on exterior train</t>
  </si>
  <si>
    <t>DD No. 002443 dated 03.11.2025</t>
  </si>
  <si>
    <t>19.11.2025</t>
  </si>
  <si>
    <t>DD No. 002444 dated 03.11.2025</t>
  </si>
  <si>
    <t>L/Fee for DJ Kiosk</t>
  </si>
  <si>
    <t>DD No. 002442 dated 03.11.2025</t>
  </si>
  <si>
    <t>Display of DJ Station Circulating area and PF</t>
  </si>
  <si>
    <t>DD No. 002446 dated 03.11.2025</t>
  </si>
  <si>
    <t>L/Fee for Train Advt at DHR for Diesel Train Interior Coaches</t>
  </si>
  <si>
    <t>DD No. 002445 dated 03.11.2025</t>
  </si>
  <si>
    <t>L/Fee for video wall at DJ</t>
  </si>
  <si>
    <t>DD No. 002441 dated 03.11.2025</t>
  </si>
  <si>
    <t>Inv. No. ES25F05L007032 dtd. 01.12.2025</t>
  </si>
  <si>
    <t>Maintenance and manning of waiting rooms at KIR Station</t>
  </si>
  <si>
    <t>Inv. No. ES25F05L007460 dtd. 15.12.2025</t>
  </si>
  <si>
    <t>Inv. No. ES25F05L007299 dtd. 11.12.2025</t>
  </si>
  <si>
    <t>Jan/2026</t>
  </si>
  <si>
    <t>Functioning of Rail Coach Restaurant at Coochbehar Station</t>
  </si>
  <si>
    <t>Inv. No. ES25F05L008037 dtd. 05.01.2026</t>
  </si>
  <si>
    <t>Inv. No. ES25F05L008222 dtd. 10.01.2026</t>
  </si>
  <si>
    <t>Inv. No. ES25F05L008388 dtd. 16.01.2026</t>
  </si>
  <si>
    <t>SD forfeit for Advertisement at interior surface of 22504</t>
  </si>
  <si>
    <t>Trans ID No. LM91972535 dtd. 11.12.2025</t>
  </si>
  <si>
    <t>Comml Advt contract at DBRG, NTSK, DBY, DJG, SLGR, JTTN for a period of 03 years</t>
  </si>
  <si>
    <t>Inv. No. ES25F05L008817 dtd. 30.01.2026</t>
  </si>
  <si>
    <t>EMD forfeited for Comml Advt at MXN Station</t>
  </si>
  <si>
    <t>Trans ID No. LM91745411 dtd. 03.03.2025</t>
  </si>
  <si>
    <t>Comml Advt at various places on Railway land in Tinsukia under NFR policy</t>
  </si>
  <si>
    <t>Inv. No. ES25F05L008179 dtd. 09.01.2026</t>
  </si>
  <si>
    <t>Rapido pick up points at DBRG, JTTN &amp; MXN Rly Stations under NFR Policy</t>
  </si>
  <si>
    <t>Inv. No. ES25F05L008331 dtd. 14.01.2026</t>
  </si>
  <si>
    <t>Guest House at South Bank of river Brahmaputra, Bogibeel, Dibrugarh</t>
  </si>
  <si>
    <t>Inv. No. ES25F05L008206 dtd. 10.01.2026</t>
  </si>
  <si>
    <t>Canteen at NTSK Goods Office premises</t>
  </si>
  <si>
    <t>Inv. No. ES25F05L008328 dtd. 14.01.2026</t>
  </si>
  <si>
    <t>Temporary space at South river bank of Bogibeel bridge for eco tourism at Bogibeel, DBRG</t>
  </si>
  <si>
    <t>Trans ID No. CPAGFPMPS7 dated 28.01.2026</t>
  </si>
  <si>
    <t>Games play &amp; Entertainment zone at DBRT Station under NINFRIS</t>
  </si>
  <si>
    <t>Trans ID No. CPAGDOWPD3 dated 09.01.2026</t>
  </si>
  <si>
    <t>1st year Annual L/Fee for old PRS building project</t>
  </si>
  <si>
    <t>Bank Transaction ID CPAGDMDSY2 dated 08.01.2026</t>
  </si>
  <si>
    <t>Operation and maintenance of Newly contructed AC retiring rooms at GHY Rly Stn</t>
  </si>
  <si>
    <t>Bank Transaction ID CPAGETPGP1 dated 20.01.2026</t>
  </si>
  <si>
    <t>Inv. No. ES25F05L008444 dated 18.01.2026</t>
  </si>
  <si>
    <t>Inv. No. ES25F05L008709 dated 27.01.2026</t>
  </si>
  <si>
    <t>e-auction for awarding advt rights at earmarked area of AGTL Station circulating area</t>
  </si>
  <si>
    <t>Inv. No. ES25F05L008743 dtd. 28.01.2026</t>
  </si>
  <si>
    <t>e-auction for awarding advt rights atearmarked area of Kamakhya video wall</t>
  </si>
  <si>
    <t>e-auction for awarding advt rights at earmarked area of KXJ Station (Inside)</t>
  </si>
  <si>
    <t>Inv. No. ES25F05L007842 dtd. 09.01.2026</t>
  </si>
  <si>
    <t>e-auction for awarding advt rights at earmarked area of BPB Station (Inside)</t>
  </si>
  <si>
    <t>Inv. No. ES25F05L008166 dtd. 09.01.2026</t>
  </si>
  <si>
    <t>L/Fee for RDN-RPAN (Non-digital)</t>
  </si>
  <si>
    <t>L/Fee for RDN-RNY (Non-digital)</t>
  </si>
  <si>
    <t>Inv. No. ES25F05L008488 dtd. 19.01.2026</t>
  </si>
  <si>
    <t>Inv. No. ES25F05L008484 dtd. 19.01.2026</t>
  </si>
  <si>
    <t>L/Fee for RDN-SBE (Non-digital)</t>
  </si>
  <si>
    <t>Inv. No. ES25F05L008483 dtd. 19.01.2026</t>
  </si>
  <si>
    <t>L/Fee for RDN-NLV (Non-digital)</t>
  </si>
  <si>
    <t>Inv. No. ES25F05L008487 dtd. 19.01.2026</t>
  </si>
  <si>
    <t>L/Fee for RDN-DKGN (Non-digital)</t>
  </si>
  <si>
    <t>Inv. No. ES25F05L008489 dtd. 19.01.2026</t>
  </si>
  <si>
    <t>OOH Advt contract for display of advertisement at circulating area of Barpeta Road (BPRD) station</t>
  </si>
  <si>
    <t>Inv. No. ES25F05L008176 dtd. 09.01.2026</t>
  </si>
  <si>
    <t>Setting up a garden cafe with free maintenance of the garden at the circulating area of Nolbari (NOLB) Halt station</t>
  </si>
  <si>
    <t>Inv. No. ES25F05L008475 dtd. 19.01.2026</t>
  </si>
  <si>
    <t>Forfeiture of EMD against cloak room at RNY</t>
  </si>
  <si>
    <t>Trans ID No. LM91977346 dated 17.12.2025</t>
  </si>
  <si>
    <t>Online (09.01.2026)</t>
  </si>
  <si>
    <t>Inv. No. ES25F05L008383 dtd. 16.01.2026</t>
  </si>
  <si>
    <t>Inv. No. ES25F05L007946 dtd. 01.01.2026</t>
  </si>
  <si>
    <t>Inv. No. ES25F05L008575 dtd. 22.01.2026</t>
  </si>
  <si>
    <t>Inv. No. ES25F05L008863 dtd. 31.01.2026</t>
  </si>
  <si>
    <t>Maintenance and manning of First Class waiting room at KIR Station on PF-01</t>
  </si>
  <si>
    <t>Inv. No. ES25F05L008546 dtd. 21.01.2026</t>
  </si>
  <si>
    <t>Maintenance and manning of AC Waiting room at ARQ Station on PF-01 for 05 years</t>
  </si>
  <si>
    <t>Inv. No. ES25F05L008398 dtd. 16.01.2026</t>
  </si>
  <si>
    <t>Maintenance and manning of AC Waiting room at PRNA Station</t>
  </si>
  <si>
    <t>Inv. No. ES25F05L008182 dtd. 09.01.2026</t>
  </si>
  <si>
    <t>Maintenance and manning of First Class waiting room at NJP Station on PF-01/01A for 05 years</t>
  </si>
  <si>
    <t>Inv. No. ES25F05L008547 dtd. 21.01.2026</t>
  </si>
  <si>
    <t>Operation and management of Cloak room at NJP Station on PF-01/01A for 05 years</t>
  </si>
  <si>
    <t>Inv. No. ES25F05L008196 dtd. 09.01.2026</t>
  </si>
  <si>
    <r>
      <t xml:space="preserve">Policy wise cumulative non-fare revenue earned in </t>
    </r>
    <r>
      <rPr>
        <b/>
        <sz val="12"/>
        <color rgb="FFFF0000"/>
        <rFont val="Times New Roman"/>
        <family val="1"/>
      </rPr>
      <t>FY 2025-26</t>
    </r>
    <r>
      <rPr>
        <b/>
        <sz val="12"/>
        <color theme="1"/>
        <rFont val="Times New Roman"/>
        <family val="1"/>
      </rPr>
      <t xml:space="preserve"> in Rs. crore to the end of Jan/2026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</si>
</sst>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49" fontId="3" fillId="0" borderId="4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top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49" fontId="3" fillId="0" borderId="6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44"/>
  <sheetViews>
    <sheetView zoomScaleSheetLayoutView="100" workbookViewId="0">
      <selection activeCell="E116" sqref="E116"/>
    </sheetView>
  </sheetViews>
  <sheetFormatPr defaultRowHeight="15"/>
  <cols>
    <col min="1" max="1" width="9.140625" style="1"/>
    <col min="2" max="2" width="10.28515625" style="1" customWidth="1"/>
    <col min="3" max="3" width="16.28515625" style="1" customWidth="1"/>
    <col min="4" max="4" width="29.28515625" style="1" customWidth="1"/>
    <col min="5" max="5" width="19.7109375" style="1" customWidth="1"/>
    <col min="6" max="6" width="17.42578125" style="1" customWidth="1"/>
    <col min="7" max="7" width="12.42578125" style="1" customWidth="1"/>
    <col min="8" max="8" width="14.7109375" style="1" customWidth="1"/>
    <col min="9" max="16384" width="9.140625" style="1"/>
  </cols>
  <sheetData>
    <row r="1" spans="2:8">
      <c r="B1" s="2" t="s">
        <v>3</v>
      </c>
    </row>
    <row r="2" spans="2:8">
      <c r="B2" s="2" t="s">
        <v>2</v>
      </c>
    </row>
    <row r="3" spans="2:8" ht="15.75" customHeight="1">
      <c r="B3" s="172" t="s">
        <v>14</v>
      </c>
      <c r="C3" s="171" t="s">
        <v>8</v>
      </c>
      <c r="D3" s="172" t="s">
        <v>0</v>
      </c>
      <c r="E3" s="171" t="s">
        <v>28</v>
      </c>
      <c r="F3" s="172" t="s">
        <v>26</v>
      </c>
      <c r="G3" s="173" t="s">
        <v>27</v>
      </c>
      <c r="H3" s="170" t="s">
        <v>1</v>
      </c>
    </row>
    <row r="4" spans="2:8" ht="15.75" customHeight="1">
      <c r="B4" s="172"/>
      <c r="C4" s="171"/>
      <c r="D4" s="172"/>
      <c r="E4" s="171"/>
      <c r="F4" s="172"/>
      <c r="G4" s="173"/>
      <c r="H4" s="170"/>
    </row>
    <row r="5" spans="2:8">
      <c r="B5" s="62" t="s">
        <v>43</v>
      </c>
      <c r="C5" s="162" t="s">
        <v>17</v>
      </c>
      <c r="D5" s="26" t="s">
        <v>32</v>
      </c>
      <c r="E5" s="4">
        <v>0</v>
      </c>
      <c r="F5" s="26" t="s">
        <v>32</v>
      </c>
      <c r="G5" s="4" t="s">
        <v>32</v>
      </c>
      <c r="H5" s="4" t="s">
        <v>32</v>
      </c>
    </row>
    <row r="6" spans="2:8" ht="15.75" customHeight="1">
      <c r="B6" s="50" t="s">
        <v>74</v>
      </c>
      <c r="C6" s="163"/>
      <c r="D6" s="26" t="s">
        <v>32</v>
      </c>
      <c r="E6" s="4">
        <v>0</v>
      </c>
      <c r="F6" s="26" t="s">
        <v>32</v>
      </c>
      <c r="G6" s="4" t="s">
        <v>32</v>
      </c>
      <c r="H6" s="4" t="s">
        <v>32</v>
      </c>
    </row>
    <row r="7" spans="2:8">
      <c r="B7" s="78" t="s">
        <v>160</v>
      </c>
      <c r="C7" s="163"/>
      <c r="D7" s="26" t="s">
        <v>32</v>
      </c>
      <c r="E7" s="4">
        <v>0</v>
      </c>
      <c r="F7" s="26" t="s">
        <v>32</v>
      </c>
      <c r="G7" s="4" t="s">
        <v>32</v>
      </c>
      <c r="H7" s="4" t="s">
        <v>32</v>
      </c>
    </row>
    <row r="8" spans="2:8">
      <c r="B8" s="85" t="s">
        <v>308</v>
      </c>
      <c r="C8" s="163"/>
      <c r="D8" s="28" t="s">
        <v>32</v>
      </c>
      <c r="E8" s="4">
        <v>0</v>
      </c>
      <c r="F8" s="26" t="s">
        <v>32</v>
      </c>
      <c r="G8" s="4" t="s">
        <v>32</v>
      </c>
      <c r="H8" s="4" t="s">
        <v>32</v>
      </c>
    </row>
    <row r="9" spans="2:8">
      <c r="B9" s="92" t="s">
        <v>373</v>
      </c>
      <c r="C9" s="163"/>
      <c r="D9" s="28" t="s">
        <v>32</v>
      </c>
      <c r="E9" s="4">
        <v>0</v>
      </c>
      <c r="F9" s="26" t="s">
        <v>32</v>
      </c>
      <c r="G9" s="4" t="s">
        <v>32</v>
      </c>
      <c r="H9" s="4" t="s">
        <v>32</v>
      </c>
    </row>
    <row r="10" spans="2:8" ht="15.75" customHeight="1">
      <c r="B10" s="108" t="s">
        <v>438</v>
      </c>
      <c r="C10" s="163"/>
      <c r="D10" s="28" t="s">
        <v>32</v>
      </c>
      <c r="E10" s="4">
        <v>0</v>
      </c>
      <c r="F10" s="26" t="s">
        <v>32</v>
      </c>
      <c r="G10" s="4" t="s">
        <v>32</v>
      </c>
      <c r="H10" s="4" t="s">
        <v>32</v>
      </c>
    </row>
    <row r="11" spans="2:8">
      <c r="B11" s="123" t="s">
        <v>540</v>
      </c>
      <c r="C11" s="163"/>
      <c r="D11" s="28" t="s">
        <v>32</v>
      </c>
      <c r="E11" s="4">
        <v>0</v>
      </c>
      <c r="F11" s="26" t="s">
        <v>32</v>
      </c>
      <c r="G11" s="4" t="s">
        <v>32</v>
      </c>
      <c r="H11" s="4" t="s">
        <v>32</v>
      </c>
    </row>
    <row r="12" spans="2:8">
      <c r="B12" s="127" t="s">
        <v>597</v>
      </c>
      <c r="C12" s="163"/>
      <c r="D12" s="28" t="s">
        <v>32</v>
      </c>
      <c r="E12" s="4">
        <v>0</v>
      </c>
      <c r="F12" s="26" t="s">
        <v>32</v>
      </c>
      <c r="G12" s="4" t="s">
        <v>32</v>
      </c>
      <c r="H12" s="4" t="s">
        <v>32</v>
      </c>
    </row>
    <row r="13" spans="2:8" ht="30">
      <c r="B13" s="123" t="s">
        <v>650</v>
      </c>
      <c r="C13" s="163"/>
      <c r="D13" s="12" t="s">
        <v>764</v>
      </c>
      <c r="E13" s="4">
        <v>21750</v>
      </c>
      <c r="F13" s="13" t="s">
        <v>765</v>
      </c>
      <c r="G13" s="5" t="s">
        <v>756</v>
      </c>
      <c r="H13" s="5" t="s">
        <v>502</v>
      </c>
    </row>
    <row r="14" spans="2:8" ht="15.75" customHeight="1">
      <c r="B14" s="123" t="s">
        <v>770</v>
      </c>
      <c r="C14" s="163"/>
      <c r="D14" s="4" t="s">
        <v>32</v>
      </c>
      <c r="E14" s="4">
        <v>0</v>
      </c>
      <c r="F14" s="4" t="s">
        <v>32</v>
      </c>
      <c r="G14" s="4" t="s">
        <v>32</v>
      </c>
      <c r="H14" s="4" t="s">
        <v>32</v>
      </c>
    </row>
    <row r="15" spans="2:8" ht="15.75" customHeight="1">
      <c r="B15" s="52"/>
      <c r="C15" s="163"/>
      <c r="D15" s="4"/>
      <c r="E15" s="4"/>
      <c r="F15" s="4"/>
      <c r="G15" s="4"/>
      <c r="H15" s="4"/>
    </row>
    <row r="16" spans="2:8">
      <c r="B16" s="61"/>
      <c r="C16" s="163"/>
      <c r="D16" s="28"/>
      <c r="E16" s="4"/>
      <c r="F16" s="26"/>
      <c r="G16" s="4"/>
      <c r="H16" s="4"/>
    </row>
    <row r="17" spans="2:8" ht="15.75" customHeight="1">
      <c r="B17" s="168" t="s">
        <v>33</v>
      </c>
      <c r="C17" s="169"/>
      <c r="D17" s="12"/>
      <c r="E17" s="5">
        <f>SUM(E5:E16)</f>
        <v>21750</v>
      </c>
      <c r="F17" s="13"/>
      <c r="G17" s="4"/>
      <c r="H17" s="5"/>
    </row>
    <row r="18" spans="2:8" ht="31.5" customHeight="1">
      <c r="B18" s="62" t="s">
        <v>43</v>
      </c>
      <c r="C18" s="162" t="s">
        <v>18</v>
      </c>
      <c r="D18" s="4" t="s">
        <v>32</v>
      </c>
      <c r="E18" s="4">
        <v>0</v>
      </c>
      <c r="F18" s="4" t="s">
        <v>32</v>
      </c>
      <c r="G18" s="4" t="s">
        <v>32</v>
      </c>
      <c r="H18" s="4" t="s">
        <v>32</v>
      </c>
    </row>
    <row r="19" spans="2:8" ht="75">
      <c r="B19" s="157" t="s">
        <v>74</v>
      </c>
      <c r="C19" s="163"/>
      <c r="D19" s="13" t="s">
        <v>129</v>
      </c>
      <c r="E19" s="4">
        <v>379250</v>
      </c>
      <c r="F19" s="13" t="s">
        <v>130</v>
      </c>
      <c r="G19" s="5" t="s">
        <v>163</v>
      </c>
      <c r="H19" s="5" t="s">
        <v>29</v>
      </c>
    </row>
    <row r="20" spans="2:8" ht="75">
      <c r="B20" s="159"/>
      <c r="C20" s="163"/>
      <c r="D20" s="13" t="s">
        <v>134</v>
      </c>
      <c r="E20" s="4">
        <v>379250</v>
      </c>
      <c r="F20" s="13" t="s">
        <v>135</v>
      </c>
      <c r="G20" s="5" t="s">
        <v>163</v>
      </c>
      <c r="H20" s="5" t="s">
        <v>29</v>
      </c>
    </row>
    <row r="21" spans="2:8">
      <c r="B21" s="78" t="s">
        <v>160</v>
      </c>
      <c r="C21" s="163"/>
      <c r="D21" s="28" t="s">
        <v>32</v>
      </c>
      <c r="E21" s="27">
        <v>0</v>
      </c>
      <c r="F21" s="28" t="s">
        <v>32</v>
      </c>
      <c r="G21" s="47" t="s">
        <v>32</v>
      </c>
      <c r="H21" s="4" t="s">
        <v>32</v>
      </c>
    </row>
    <row r="22" spans="2:8">
      <c r="B22" s="87" t="s">
        <v>308</v>
      </c>
      <c r="C22" s="163"/>
      <c r="D22" s="28" t="s">
        <v>32</v>
      </c>
      <c r="E22" s="4">
        <v>0</v>
      </c>
      <c r="F22" s="26" t="s">
        <v>32</v>
      </c>
      <c r="G22" s="15" t="s">
        <v>32</v>
      </c>
      <c r="H22" s="4" t="s">
        <v>32</v>
      </c>
    </row>
    <row r="23" spans="2:8" ht="75">
      <c r="B23" s="157" t="s">
        <v>373</v>
      </c>
      <c r="C23" s="163"/>
      <c r="D23" s="13" t="s">
        <v>129</v>
      </c>
      <c r="E23" s="4">
        <v>383043</v>
      </c>
      <c r="F23" s="13" t="s">
        <v>419</v>
      </c>
      <c r="G23" s="5" t="s">
        <v>163</v>
      </c>
      <c r="H23" s="5" t="s">
        <v>29</v>
      </c>
    </row>
    <row r="24" spans="2:8" ht="75">
      <c r="B24" s="159"/>
      <c r="C24" s="163"/>
      <c r="D24" s="13" t="s">
        <v>134</v>
      </c>
      <c r="E24" s="4">
        <v>379250</v>
      </c>
      <c r="F24" s="13" t="s">
        <v>420</v>
      </c>
      <c r="G24" s="5" t="s">
        <v>163</v>
      </c>
      <c r="H24" s="5" t="s">
        <v>29</v>
      </c>
    </row>
    <row r="25" spans="2:8">
      <c r="B25" s="108" t="s">
        <v>438</v>
      </c>
      <c r="C25" s="163"/>
      <c r="D25" s="26" t="s">
        <v>32</v>
      </c>
      <c r="E25" s="4">
        <v>0</v>
      </c>
      <c r="F25" s="26" t="s">
        <v>32</v>
      </c>
      <c r="G25" s="15" t="s">
        <v>32</v>
      </c>
      <c r="H25" s="4" t="s">
        <v>32</v>
      </c>
    </row>
    <row r="26" spans="2:8" ht="15.75" customHeight="1">
      <c r="B26" s="123" t="s">
        <v>540</v>
      </c>
      <c r="C26" s="163"/>
      <c r="D26" s="4" t="s">
        <v>32</v>
      </c>
      <c r="E26" s="4">
        <v>0</v>
      </c>
      <c r="F26" s="4" t="s">
        <v>32</v>
      </c>
      <c r="G26" s="4" t="s">
        <v>32</v>
      </c>
      <c r="H26" s="4" t="s">
        <v>32</v>
      </c>
    </row>
    <row r="27" spans="2:8" ht="75">
      <c r="B27" s="157" t="s">
        <v>597</v>
      </c>
      <c r="C27" s="163"/>
      <c r="D27" s="13" t="s">
        <v>129</v>
      </c>
      <c r="E27" s="4">
        <v>392524</v>
      </c>
      <c r="F27" s="13" t="s">
        <v>631</v>
      </c>
      <c r="G27" s="5" t="s">
        <v>163</v>
      </c>
      <c r="H27" s="5" t="s">
        <v>29</v>
      </c>
    </row>
    <row r="28" spans="2:8" ht="75">
      <c r="B28" s="159"/>
      <c r="C28" s="163"/>
      <c r="D28" s="13" t="s">
        <v>134</v>
      </c>
      <c r="E28" s="4">
        <v>383042</v>
      </c>
      <c r="F28" s="13" t="s">
        <v>632</v>
      </c>
      <c r="G28" s="5" t="s">
        <v>163</v>
      </c>
      <c r="H28" s="5" t="s">
        <v>29</v>
      </c>
    </row>
    <row r="29" spans="2:8" ht="30">
      <c r="B29" s="157" t="s">
        <v>650</v>
      </c>
      <c r="C29" s="163"/>
      <c r="D29" s="13" t="s">
        <v>754</v>
      </c>
      <c r="E29" s="4">
        <v>132827</v>
      </c>
      <c r="F29" s="13" t="s">
        <v>755</v>
      </c>
      <c r="G29" s="5" t="s">
        <v>756</v>
      </c>
      <c r="H29" s="5" t="s">
        <v>502</v>
      </c>
    </row>
    <row r="30" spans="2:8" ht="30">
      <c r="B30" s="158"/>
      <c r="C30" s="163"/>
      <c r="D30" s="13" t="s">
        <v>754</v>
      </c>
      <c r="E30" s="4">
        <v>132827</v>
      </c>
      <c r="F30" s="13" t="s">
        <v>757</v>
      </c>
      <c r="G30" s="5" t="s">
        <v>756</v>
      </c>
      <c r="H30" s="5" t="s">
        <v>502</v>
      </c>
    </row>
    <row r="31" spans="2:8" ht="45">
      <c r="B31" s="159"/>
      <c r="C31" s="163"/>
      <c r="D31" s="13" t="s">
        <v>762</v>
      </c>
      <c r="E31" s="4">
        <v>42500</v>
      </c>
      <c r="F31" s="13" t="s">
        <v>763</v>
      </c>
      <c r="G31" s="5" t="s">
        <v>756</v>
      </c>
      <c r="H31" s="5" t="s">
        <v>502</v>
      </c>
    </row>
    <row r="32" spans="2:8">
      <c r="B32" s="146" t="s">
        <v>770</v>
      </c>
      <c r="C32" s="163"/>
      <c r="D32" s="26" t="s">
        <v>32</v>
      </c>
      <c r="E32" s="4">
        <v>0</v>
      </c>
      <c r="F32" s="26" t="s">
        <v>32</v>
      </c>
      <c r="G32" s="4" t="s">
        <v>32</v>
      </c>
      <c r="H32" s="4" t="s">
        <v>32</v>
      </c>
    </row>
    <row r="33" spans="2:8" ht="15.75" customHeight="1">
      <c r="B33" s="61"/>
      <c r="C33" s="163"/>
      <c r="D33" s="4"/>
      <c r="E33" s="4"/>
      <c r="F33" s="4"/>
      <c r="G33" s="4"/>
      <c r="H33" s="4"/>
    </row>
    <row r="34" spans="2:8" ht="15.75" customHeight="1">
      <c r="B34" s="166" t="s">
        <v>33</v>
      </c>
      <c r="C34" s="167"/>
      <c r="D34" s="12"/>
      <c r="E34" s="5">
        <f>SUM(E18:E33)</f>
        <v>2604513</v>
      </c>
      <c r="F34" s="13"/>
      <c r="G34" s="24"/>
      <c r="H34" s="5"/>
    </row>
    <row r="35" spans="2:8" ht="45">
      <c r="B35" s="174" t="s">
        <v>43</v>
      </c>
      <c r="C35" s="162" t="s">
        <v>19</v>
      </c>
      <c r="D35" s="12" t="s">
        <v>40</v>
      </c>
      <c r="E35" s="4">
        <v>80000</v>
      </c>
      <c r="F35" s="13" t="s">
        <v>54</v>
      </c>
      <c r="G35" s="70" t="s">
        <v>131</v>
      </c>
      <c r="H35" s="5" t="s">
        <v>29</v>
      </c>
    </row>
    <row r="36" spans="2:8" ht="135">
      <c r="B36" s="175"/>
      <c r="C36" s="163"/>
      <c r="D36" s="12" t="s">
        <v>55</v>
      </c>
      <c r="E36" s="4">
        <v>207328</v>
      </c>
      <c r="F36" s="13" t="s">
        <v>56</v>
      </c>
      <c r="G36" s="70" t="s">
        <v>132</v>
      </c>
      <c r="H36" s="5" t="s">
        <v>29</v>
      </c>
    </row>
    <row r="37" spans="2:8" ht="45">
      <c r="B37" s="68" t="s">
        <v>74</v>
      </c>
      <c r="C37" s="163"/>
      <c r="D37" s="12" t="s">
        <v>137</v>
      </c>
      <c r="E37" s="4">
        <v>37500</v>
      </c>
      <c r="F37" s="13" t="s">
        <v>138</v>
      </c>
      <c r="G37" s="76" t="s">
        <v>163</v>
      </c>
      <c r="H37" s="5" t="s">
        <v>29</v>
      </c>
    </row>
    <row r="38" spans="2:8" ht="45">
      <c r="B38" s="157" t="s">
        <v>160</v>
      </c>
      <c r="C38" s="163"/>
      <c r="D38" s="12" t="s">
        <v>281</v>
      </c>
      <c r="E38" s="4">
        <v>663889</v>
      </c>
      <c r="F38" s="13" t="s">
        <v>282</v>
      </c>
      <c r="G38" s="76" t="s">
        <v>163</v>
      </c>
      <c r="H38" s="5" t="s">
        <v>29</v>
      </c>
    </row>
    <row r="39" spans="2:8" ht="45">
      <c r="B39" s="158"/>
      <c r="C39" s="163"/>
      <c r="D39" s="12" t="s">
        <v>283</v>
      </c>
      <c r="E39" s="4">
        <v>303125</v>
      </c>
      <c r="F39" s="13" t="s">
        <v>284</v>
      </c>
      <c r="G39" s="76" t="s">
        <v>163</v>
      </c>
      <c r="H39" s="5" t="s">
        <v>29</v>
      </c>
    </row>
    <row r="40" spans="2:8" ht="45">
      <c r="B40" s="158"/>
      <c r="C40" s="163"/>
      <c r="D40" s="12" t="s">
        <v>285</v>
      </c>
      <c r="E40" s="4">
        <v>39625</v>
      </c>
      <c r="F40" s="13" t="s">
        <v>286</v>
      </c>
      <c r="G40" s="76" t="s">
        <v>163</v>
      </c>
      <c r="H40" s="5" t="s">
        <v>29</v>
      </c>
    </row>
    <row r="41" spans="2:8" ht="60">
      <c r="B41" s="158"/>
      <c r="C41" s="163"/>
      <c r="D41" s="12" t="s">
        <v>287</v>
      </c>
      <c r="E41" s="4">
        <v>151450</v>
      </c>
      <c r="F41" s="13" t="s">
        <v>288</v>
      </c>
      <c r="G41" s="76" t="s">
        <v>163</v>
      </c>
      <c r="H41" s="5" t="s">
        <v>29</v>
      </c>
    </row>
    <row r="42" spans="2:8" ht="45">
      <c r="B42" s="159"/>
      <c r="C42" s="163"/>
      <c r="D42" s="12" t="s">
        <v>289</v>
      </c>
      <c r="E42" s="4">
        <v>572680</v>
      </c>
      <c r="F42" s="13" t="s">
        <v>290</v>
      </c>
      <c r="G42" s="76" t="s">
        <v>163</v>
      </c>
      <c r="H42" s="5" t="s">
        <v>29</v>
      </c>
    </row>
    <row r="43" spans="2:8" ht="135">
      <c r="B43" s="157" t="s">
        <v>308</v>
      </c>
      <c r="C43" s="163"/>
      <c r="D43" s="12" t="s">
        <v>55</v>
      </c>
      <c r="E43" s="4">
        <v>211433</v>
      </c>
      <c r="F43" s="13" t="s">
        <v>347</v>
      </c>
      <c r="G43" s="86" t="s">
        <v>163</v>
      </c>
      <c r="H43" s="5" t="s">
        <v>29</v>
      </c>
    </row>
    <row r="44" spans="2:8" ht="45">
      <c r="B44" s="159"/>
      <c r="C44" s="163"/>
      <c r="D44" s="12" t="s">
        <v>40</v>
      </c>
      <c r="E44" s="4">
        <v>80000</v>
      </c>
      <c r="F44" s="13" t="s">
        <v>348</v>
      </c>
      <c r="G44" s="86" t="s">
        <v>163</v>
      </c>
      <c r="H44" s="5" t="s">
        <v>29</v>
      </c>
    </row>
    <row r="45" spans="2:8" ht="45">
      <c r="B45" s="21" t="s">
        <v>373</v>
      </c>
      <c r="C45" s="163"/>
      <c r="D45" s="12" t="s">
        <v>137</v>
      </c>
      <c r="E45" s="4">
        <v>37500</v>
      </c>
      <c r="F45" s="13" t="s">
        <v>421</v>
      </c>
      <c r="G45" s="91" t="s">
        <v>163</v>
      </c>
      <c r="H45" s="5" t="s">
        <v>29</v>
      </c>
    </row>
    <row r="46" spans="2:8" ht="45">
      <c r="B46" s="157" t="s">
        <v>438</v>
      </c>
      <c r="C46" s="163"/>
      <c r="D46" s="12" t="s">
        <v>285</v>
      </c>
      <c r="E46" s="4">
        <v>51513</v>
      </c>
      <c r="F46" s="13" t="s">
        <v>439</v>
      </c>
      <c r="G46" s="107" t="s">
        <v>163</v>
      </c>
      <c r="H46" s="5" t="s">
        <v>29</v>
      </c>
    </row>
    <row r="47" spans="2:8" ht="45">
      <c r="B47" s="158"/>
      <c r="C47" s="163"/>
      <c r="D47" s="12" t="s">
        <v>289</v>
      </c>
      <c r="E47" s="4">
        <v>572680</v>
      </c>
      <c r="F47" s="13" t="s">
        <v>440</v>
      </c>
      <c r="G47" s="109" t="s">
        <v>163</v>
      </c>
      <c r="H47" s="5" t="s">
        <v>29</v>
      </c>
    </row>
    <row r="48" spans="2:8" ht="60">
      <c r="B48" s="159"/>
      <c r="C48" s="163"/>
      <c r="D48" s="12" t="s">
        <v>287</v>
      </c>
      <c r="E48" s="4">
        <v>152207</v>
      </c>
      <c r="F48" s="13" t="s">
        <v>441</v>
      </c>
      <c r="G48" s="109" t="s">
        <v>163</v>
      </c>
      <c r="H48" s="5" t="s">
        <v>29</v>
      </c>
    </row>
    <row r="49" spans="2:8" ht="135">
      <c r="B49" s="157" t="s">
        <v>540</v>
      </c>
      <c r="C49" s="163"/>
      <c r="D49" s="12" t="s">
        <v>55</v>
      </c>
      <c r="E49" s="4">
        <v>209381</v>
      </c>
      <c r="F49" s="13" t="s">
        <v>576</v>
      </c>
      <c r="G49" s="122" t="s">
        <v>163</v>
      </c>
      <c r="H49" s="5" t="s">
        <v>29</v>
      </c>
    </row>
    <row r="50" spans="2:8" ht="45">
      <c r="B50" s="159"/>
      <c r="C50" s="163"/>
      <c r="D50" s="12" t="s">
        <v>40</v>
      </c>
      <c r="E50" s="4">
        <v>80000</v>
      </c>
      <c r="F50" s="13" t="s">
        <v>577</v>
      </c>
      <c r="G50" s="122" t="s">
        <v>163</v>
      </c>
      <c r="H50" s="5" t="s">
        <v>29</v>
      </c>
    </row>
    <row r="51" spans="2:8" ht="45">
      <c r="B51" s="21" t="s">
        <v>597</v>
      </c>
      <c r="C51" s="163"/>
      <c r="D51" s="12" t="s">
        <v>137</v>
      </c>
      <c r="E51" s="4">
        <v>37500</v>
      </c>
      <c r="F51" s="13" t="s">
        <v>633</v>
      </c>
      <c r="G51" s="128" t="s">
        <v>163</v>
      </c>
      <c r="H51" s="5" t="s">
        <v>29</v>
      </c>
    </row>
    <row r="52" spans="2:8" ht="45">
      <c r="B52" s="157" t="s">
        <v>650</v>
      </c>
      <c r="C52" s="163"/>
      <c r="D52" s="12" t="s">
        <v>750</v>
      </c>
      <c r="E52" s="4">
        <v>547673</v>
      </c>
      <c r="F52" s="13" t="s">
        <v>751</v>
      </c>
      <c r="G52" s="139" t="s">
        <v>163</v>
      </c>
      <c r="H52" s="5" t="s">
        <v>29</v>
      </c>
    </row>
    <row r="53" spans="2:8" ht="45">
      <c r="B53" s="158"/>
      <c r="C53" s="163"/>
      <c r="D53" s="12" t="s">
        <v>289</v>
      </c>
      <c r="E53" s="4">
        <v>569900</v>
      </c>
      <c r="F53" s="13" t="s">
        <v>752</v>
      </c>
      <c r="G53" s="139" t="s">
        <v>163</v>
      </c>
      <c r="H53" s="5" t="s">
        <v>29</v>
      </c>
    </row>
    <row r="54" spans="2:8" ht="45">
      <c r="B54" s="158"/>
      <c r="C54" s="163"/>
      <c r="D54" s="12" t="s">
        <v>285</v>
      </c>
      <c r="E54" s="4">
        <v>51512</v>
      </c>
      <c r="F54" s="13" t="s">
        <v>753</v>
      </c>
      <c r="G54" s="139" t="s">
        <v>163</v>
      </c>
      <c r="H54" s="5" t="s">
        <v>29</v>
      </c>
    </row>
    <row r="55" spans="2:8" ht="30">
      <c r="B55" s="158"/>
      <c r="C55" s="163"/>
      <c r="D55" s="12" t="s">
        <v>758</v>
      </c>
      <c r="E55" s="4">
        <v>166750</v>
      </c>
      <c r="F55" s="13" t="s">
        <v>759</v>
      </c>
      <c r="G55" s="139" t="s">
        <v>756</v>
      </c>
      <c r="H55" s="5" t="s">
        <v>502</v>
      </c>
    </row>
    <row r="56" spans="2:8" ht="30">
      <c r="B56" s="159"/>
      <c r="C56" s="163"/>
      <c r="D56" s="12" t="s">
        <v>760</v>
      </c>
      <c r="E56" s="4">
        <v>32500</v>
      </c>
      <c r="F56" s="13" t="s">
        <v>761</v>
      </c>
      <c r="G56" s="139" t="s">
        <v>756</v>
      </c>
      <c r="H56" s="5" t="s">
        <v>502</v>
      </c>
    </row>
    <row r="57" spans="2:8" ht="120.75" customHeight="1">
      <c r="B57" s="157" t="s">
        <v>770</v>
      </c>
      <c r="C57" s="163"/>
      <c r="D57" s="12" t="s">
        <v>55</v>
      </c>
      <c r="E57" s="4">
        <v>205275</v>
      </c>
      <c r="F57" s="13" t="s">
        <v>823</v>
      </c>
      <c r="G57" s="147" t="s">
        <v>163</v>
      </c>
      <c r="H57" s="5" t="s">
        <v>29</v>
      </c>
    </row>
    <row r="58" spans="2:8" ht="46.5" customHeight="1">
      <c r="B58" s="158"/>
      <c r="C58" s="163"/>
      <c r="D58" s="12" t="s">
        <v>287</v>
      </c>
      <c r="E58" s="4">
        <v>155994</v>
      </c>
      <c r="F58" s="13" t="s">
        <v>824</v>
      </c>
      <c r="G58" s="147" t="s">
        <v>163</v>
      </c>
      <c r="H58" s="5" t="s">
        <v>29</v>
      </c>
    </row>
    <row r="59" spans="2:8" ht="45">
      <c r="B59" s="159"/>
      <c r="C59" s="164"/>
      <c r="D59" s="12" t="s">
        <v>40</v>
      </c>
      <c r="E59" s="4">
        <v>80000</v>
      </c>
      <c r="F59" s="13" t="s">
        <v>825</v>
      </c>
      <c r="G59" s="147" t="s">
        <v>163</v>
      </c>
      <c r="H59" s="5" t="s">
        <v>29</v>
      </c>
    </row>
    <row r="60" spans="2:8" ht="15.75">
      <c r="B60" s="151"/>
      <c r="C60" s="149"/>
      <c r="D60" s="12"/>
      <c r="E60" s="4"/>
      <c r="F60" s="13"/>
      <c r="G60" s="147"/>
      <c r="H60" s="5"/>
    </row>
    <row r="61" spans="2:8" ht="15.75" customHeight="1">
      <c r="B61" s="168" t="s">
        <v>33</v>
      </c>
      <c r="C61" s="169"/>
      <c r="D61" s="12"/>
      <c r="E61" s="5">
        <f>SUM(E35:E59)</f>
        <v>5297415</v>
      </c>
      <c r="F61" s="13"/>
      <c r="G61" s="15"/>
      <c r="H61" s="5"/>
    </row>
    <row r="62" spans="2:8" ht="30" customHeight="1">
      <c r="B62" s="157" t="s">
        <v>43</v>
      </c>
      <c r="C62" s="162" t="s">
        <v>23</v>
      </c>
      <c r="D62" s="13" t="s">
        <v>57</v>
      </c>
      <c r="E62" s="4">
        <v>500000</v>
      </c>
      <c r="F62" s="13" t="s">
        <v>58</v>
      </c>
      <c r="G62" s="72" t="s">
        <v>133</v>
      </c>
      <c r="H62" s="72" t="s">
        <v>59</v>
      </c>
    </row>
    <row r="63" spans="2:8" ht="15" customHeight="1">
      <c r="B63" s="159"/>
      <c r="C63" s="163"/>
      <c r="D63" s="13" t="s">
        <v>139</v>
      </c>
      <c r="E63" s="4">
        <v>1465047</v>
      </c>
      <c r="F63" s="13"/>
      <c r="G63" s="13"/>
      <c r="H63" s="4"/>
    </row>
    <row r="64" spans="2:8" ht="45">
      <c r="B64" s="157" t="s">
        <v>74</v>
      </c>
      <c r="C64" s="163"/>
      <c r="D64" s="13" t="s">
        <v>140</v>
      </c>
      <c r="E64" s="4">
        <v>41666</v>
      </c>
      <c r="F64" s="13" t="s">
        <v>141</v>
      </c>
      <c r="G64" s="5" t="s">
        <v>142</v>
      </c>
      <c r="H64" s="5" t="s">
        <v>29</v>
      </c>
    </row>
    <row r="65" spans="2:8" ht="45">
      <c r="B65" s="158"/>
      <c r="C65" s="163"/>
      <c r="D65" s="13" t="s">
        <v>143</v>
      </c>
      <c r="E65" s="4">
        <v>277413</v>
      </c>
      <c r="F65" s="13" t="s">
        <v>144</v>
      </c>
      <c r="G65" s="69" t="s">
        <v>145</v>
      </c>
      <c r="H65" s="5" t="s">
        <v>29</v>
      </c>
    </row>
    <row r="66" spans="2:8" ht="45">
      <c r="B66" s="158"/>
      <c r="C66" s="163"/>
      <c r="D66" s="13" t="s">
        <v>146</v>
      </c>
      <c r="E66" s="4">
        <v>16750</v>
      </c>
      <c r="F66" s="13" t="s">
        <v>147</v>
      </c>
      <c r="G66" s="5" t="s">
        <v>136</v>
      </c>
      <c r="H66" s="5" t="s">
        <v>29</v>
      </c>
    </row>
    <row r="67" spans="2:8" ht="45">
      <c r="B67" s="158"/>
      <c r="C67" s="163"/>
      <c r="D67" s="13" t="s">
        <v>148</v>
      </c>
      <c r="E67" s="4">
        <v>112778</v>
      </c>
      <c r="F67" s="13" t="s">
        <v>149</v>
      </c>
      <c r="G67" s="5" t="s">
        <v>82</v>
      </c>
      <c r="H67" s="5" t="s">
        <v>29</v>
      </c>
    </row>
    <row r="68" spans="2:8" ht="45">
      <c r="B68" s="158"/>
      <c r="C68" s="163"/>
      <c r="D68" s="13" t="s">
        <v>150</v>
      </c>
      <c r="E68" s="4">
        <v>42500</v>
      </c>
      <c r="F68" s="13" t="s">
        <v>151</v>
      </c>
      <c r="G68" s="5" t="s">
        <v>152</v>
      </c>
      <c r="H68" s="5" t="s">
        <v>29</v>
      </c>
    </row>
    <row r="69" spans="2:8" ht="45">
      <c r="B69" s="158"/>
      <c r="C69" s="163"/>
      <c r="D69" s="13" t="s">
        <v>153</v>
      </c>
      <c r="E69" s="4">
        <v>11644</v>
      </c>
      <c r="F69" s="13" t="s">
        <v>154</v>
      </c>
      <c r="G69" s="5" t="s">
        <v>155</v>
      </c>
      <c r="H69" s="5" t="s">
        <v>29</v>
      </c>
    </row>
    <row r="70" spans="2:8" ht="45">
      <c r="B70" s="159"/>
      <c r="C70" s="163"/>
      <c r="D70" s="13" t="s">
        <v>156</v>
      </c>
      <c r="E70" s="4">
        <v>67796</v>
      </c>
      <c r="F70" s="13" t="s">
        <v>157</v>
      </c>
      <c r="G70" s="5" t="s">
        <v>163</v>
      </c>
      <c r="H70" s="5" t="s">
        <v>29</v>
      </c>
    </row>
    <row r="71" spans="2:8" ht="45">
      <c r="B71" s="157" t="s">
        <v>160</v>
      </c>
      <c r="C71" s="163"/>
      <c r="D71" s="13" t="s">
        <v>291</v>
      </c>
      <c r="E71" s="4">
        <v>300</v>
      </c>
      <c r="F71" s="13" t="s">
        <v>292</v>
      </c>
      <c r="G71" s="5" t="s">
        <v>163</v>
      </c>
      <c r="H71" s="5" t="s">
        <v>29</v>
      </c>
    </row>
    <row r="72" spans="2:8" ht="45">
      <c r="B72" s="158"/>
      <c r="C72" s="163"/>
      <c r="D72" s="13" t="s">
        <v>293</v>
      </c>
      <c r="E72" s="4">
        <v>7013</v>
      </c>
      <c r="F72" s="13" t="s">
        <v>294</v>
      </c>
      <c r="G72" s="76" t="s">
        <v>163</v>
      </c>
      <c r="H72" s="5" t="s">
        <v>29</v>
      </c>
    </row>
    <row r="73" spans="2:8" ht="45">
      <c r="B73" s="158"/>
      <c r="C73" s="163"/>
      <c r="D73" s="13" t="s">
        <v>295</v>
      </c>
      <c r="E73" s="4">
        <v>39028</v>
      </c>
      <c r="F73" s="13" t="s">
        <v>296</v>
      </c>
      <c r="G73" s="76" t="s">
        <v>163</v>
      </c>
      <c r="H73" s="5" t="s">
        <v>29</v>
      </c>
    </row>
    <row r="74" spans="2:8" ht="30">
      <c r="B74" s="159"/>
      <c r="C74" s="163"/>
      <c r="D74" s="13" t="s">
        <v>297</v>
      </c>
      <c r="E74" s="4">
        <v>120000</v>
      </c>
      <c r="F74" s="13" t="s">
        <v>298</v>
      </c>
      <c r="G74" s="76" t="s">
        <v>299</v>
      </c>
      <c r="H74" s="5"/>
    </row>
    <row r="75" spans="2:8" ht="30">
      <c r="B75" s="157" t="s">
        <v>308</v>
      </c>
      <c r="C75" s="163"/>
      <c r="D75" s="13" t="s">
        <v>349</v>
      </c>
      <c r="E75" s="4">
        <v>200000</v>
      </c>
      <c r="F75" s="13" t="s">
        <v>350</v>
      </c>
      <c r="G75" s="86" t="s">
        <v>351</v>
      </c>
      <c r="H75" s="72" t="s">
        <v>59</v>
      </c>
    </row>
    <row r="76" spans="2:8" ht="45">
      <c r="B76" s="158"/>
      <c r="C76" s="163"/>
      <c r="D76" s="13" t="s">
        <v>357</v>
      </c>
      <c r="E76" s="4">
        <v>313925</v>
      </c>
      <c r="F76" s="13" t="s">
        <v>352</v>
      </c>
      <c r="G76" s="86" t="s">
        <v>163</v>
      </c>
      <c r="H76" s="5" t="s">
        <v>29</v>
      </c>
    </row>
    <row r="77" spans="2:8" ht="45">
      <c r="B77" s="158"/>
      <c r="C77" s="163"/>
      <c r="D77" s="13" t="s">
        <v>353</v>
      </c>
      <c r="E77" s="4">
        <v>274666</v>
      </c>
      <c r="F77" s="13" t="s">
        <v>354</v>
      </c>
      <c r="G77" s="86" t="s">
        <v>163</v>
      </c>
      <c r="H77" s="5" t="s">
        <v>29</v>
      </c>
    </row>
    <row r="78" spans="2:8" ht="45">
      <c r="B78" s="158"/>
      <c r="C78" s="163"/>
      <c r="D78" s="13" t="s">
        <v>355</v>
      </c>
      <c r="E78" s="4">
        <v>791667</v>
      </c>
      <c r="F78" s="13" t="s">
        <v>356</v>
      </c>
      <c r="G78" s="86" t="s">
        <v>163</v>
      </c>
      <c r="H78" s="5" t="s">
        <v>29</v>
      </c>
    </row>
    <row r="79" spans="2:8" ht="45">
      <c r="B79" s="158"/>
      <c r="C79" s="163"/>
      <c r="D79" s="13" t="s">
        <v>358</v>
      </c>
      <c r="E79" s="4">
        <v>38956</v>
      </c>
      <c r="F79" s="13" t="s">
        <v>359</v>
      </c>
      <c r="G79" s="86" t="s">
        <v>163</v>
      </c>
      <c r="H79" s="5" t="s">
        <v>29</v>
      </c>
    </row>
    <row r="80" spans="2:8" ht="45">
      <c r="B80" s="158"/>
      <c r="C80" s="163"/>
      <c r="D80" s="13" t="s">
        <v>360</v>
      </c>
      <c r="E80" s="4">
        <v>32202</v>
      </c>
      <c r="F80" s="13" t="s">
        <v>361</v>
      </c>
      <c r="G80" s="86" t="s">
        <v>163</v>
      </c>
      <c r="H80" s="5" t="s">
        <v>29</v>
      </c>
    </row>
    <row r="81" spans="2:8" ht="45">
      <c r="B81" s="158"/>
      <c r="C81" s="163"/>
      <c r="D81" s="13" t="s">
        <v>362</v>
      </c>
      <c r="E81" s="4">
        <v>37750</v>
      </c>
      <c r="F81" s="13" t="s">
        <v>363</v>
      </c>
      <c r="G81" s="86" t="s">
        <v>163</v>
      </c>
      <c r="H81" s="5" t="s">
        <v>29</v>
      </c>
    </row>
    <row r="82" spans="2:8" ht="45">
      <c r="B82" s="158"/>
      <c r="C82" s="163"/>
      <c r="D82" s="13" t="s">
        <v>364</v>
      </c>
      <c r="E82" s="4">
        <v>282750</v>
      </c>
      <c r="F82" s="13" t="s">
        <v>365</v>
      </c>
      <c r="G82" s="86" t="s">
        <v>163</v>
      </c>
      <c r="H82" s="5" t="s">
        <v>29</v>
      </c>
    </row>
    <row r="83" spans="2:8" ht="45">
      <c r="B83" s="159"/>
      <c r="C83" s="163"/>
      <c r="D83" s="13" t="s">
        <v>293</v>
      </c>
      <c r="E83" s="4">
        <v>7117</v>
      </c>
      <c r="F83" s="13" t="s">
        <v>366</v>
      </c>
      <c r="G83" s="86" t="s">
        <v>163</v>
      </c>
      <c r="H83" s="5" t="s">
        <v>29</v>
      </c>
    </row>
    <row r="84" spans="2:8" ht="45">
      <c r="B84" s="157" t="s">
        <v>373</v>
      </c>
      <c r="C84" s="163"/>
      <c r="D84" s="19" t="s">
        <v>422</v>
      </c>
      <c r="E84" s="4">
        <v>11644</v>
      </c>
      <c r="F84" s="13" t="s">
        <v>423</v>
      </c>
      <c r="G84" s="91" t="s">
        <v>163</v>
      </c>
      <c r="H84" s="5" t="s">
        <v>29</v>
      </c>
    </row>
    <row r="85" spans="2:8" ht="45">
      <c r="B85" s="158"/>
      <c r="C85" s="163"/>
      <c r="D85" s="105" t="s">
        <v>424</v>
      </c>
      <c r="E85" s="4">
        <v>16750</v>
      </c>
      <c r="F85" s="13" t="s">
        <v>425</v>
      </c>
      <c r="G85" s="91" t="s">
        <v>163</v>
      </c>
      <c r="H85" s="5" t="s">
        <v>29</v>
      </c>
    </row>
    <row r="86" spans="2:8" ht="45">
      <c r="B86" s="158"/>
      <c r="C86" s="163"/>
      <c r="D86" s="97" t="s">
        <v>426</v>
      </c>
      <c r="E86" s="93">
        <v>11750</v>
      </c>
      <c r="F86" s="13" t="s">
        <v>427</v>
      </c>
      <c r="G86" s="91" t="s">
        <v>163</v>
      </c>
      <c r="H86" s="5" t="s">
        <v>29</v>
      </c>
    </row>
    <row r="87" spans="2:8" ht="45">
      <c r="B87" s="158"/>
      <c r="C87" s="163"/>
      <c r="D87" s="97" t="s">
        <v>428</v>
      </c>
      <c r="E87" s="93">
        <v>41667</v>
      </c>
      <c r="F87" s="13" t="s">
        <v>429</v>
      </c>
      <c r="G87" s="91" t="s">
        <v>163</v>
      </c>
      <c r="H87" s="5" t="s">
        <v>29</v>
      </c>
    </row>
    <row r="88" spans="2:8" ht="45">
      <c r="B88" s="158"/>
      <c r="C88" s="163"/>
      <c r="D88" s="97" t="s">
        <v>430</v>
      </c>
      <c r="E88" s="93">
        <v>112777</v>
      </c>
      <c r="F88" s="13" t="s">
        <v>431</v>
      </c>
      <c r="G88" s="91" t="s">
        <v>163</v>
      </c>
      <c r="H88" s="5" t="s">
        <v>29</v>
      </c>
    </row>
    <row r="89" spans="2:8" ht="45">
      <c r="B89" s="158"/>
      <c r="C89" s="163"/>
      <c r="D89" s="97" t="s">
        <v>295</v>
      </c>
      <c r="E89" s="93">
        <v>205568</v>
      </c>
      <c r="F89" s="13" t="s">
        <v>432</v>
      </c>
      <c r="G89" s="91" t="s">
        <v>163</v>
      </c>
      <c r="H89" s="5" t="s">
        <v>29</v>
      </c>
    </row>
    <row r="90" spans="2:8" ht="45">
      <c r="B90" s="159"/>
      <c r="C90" s="163"/>
      <c r="D90" s="96" t="s">
        <v>433</v>
      </c>
      <c r="E90" s="93">
        <v>42500</v>
      </c>
      <c r="F90" s="13" t="s">
        <v>434</v>
      </c>
      <c r="G90" s="91" t="s">
        <v>163</v>
      </c>
      <c r="H90" s="5" t="s">
        <v>29</v>
      </c>
    </row>
    <row r="91" spans="2:8" ht="45">
      <c r="B91" s="157" t="s">
        <v>438</v>
      </c>
      <c r="C91" s="163"/>
      <c r="D91" s="98" t="s">
        <v>295</v>
      </c>
      <c r="E91" s="4">
        <v>39028</v>
      </c>
      <c r="F91" s="13" t="s">
        <v>442</v>
      </c>
      <c r="G91" s="109" t="s">
        <v>163</v>
      </c>
      <c r="H91" s="5" t="s">
        <v>29</v>
      </c>
    </row>
    <row r="92" spans="2:8" ht="45">
      <c r="B92" s="159"/>
      <c r="C92" s="163"/>
      <c r="D92" s="13" t="s">
        <v>291</v>
      </c>
      <c r="E92" s="4">
        <v>300</v>
      </c>
      <c r="F92" s="13" t="s">
        <v>443</v>
      </c>
      <c r="G92" s="109" t="s">
        <v>163</v>
      </c>
      <c r="H92" s="5" t="s">
        <v>29</v>
      </c>
    </row>
    <row r="93" spans="2:8" ht="45">
      <c r="B93" s="157" t="s">
        <v>540</v>
      </c>
      <c r="C93" s="163"/>
      <c r="D93" s="13" t="s">
        <v>293</v>
      </c>
      <c r="E93" s="4">
        <v>6944</v>
      </c>
      <c r="F93" s="13" t="s">
        <v>578</v>
      </c>
      <c r="G93" s="122" t="s">
        <v>163</v>
      </c>
      <c r="H93" s="5" t="s">
        <v>29</v>
      </c>
    </row>
    <row r="94" spans="2:8" ht="45">
      <c r="B94" s="158"/>
      <c r="C94" s="163"/>
      <c r="D94" s="13" t="s">
        <v>579</v>
      </c>
      <c r="E94" s="4">
        <v>282750</v>
      </c>
      <c r="F94" s="13" t="s">
        <v>580</v>
      </c>
      <c r="G94" s="122" t="s">
        <v>163</v>
      </c>
      <c r="H94" s="5" t="s">
        <v>29</v>
      </c>
    </row>
    <row r="95" spans="2:8" ht="45">
      <c r="B95" s="158"/>
      <c r="C95" s="163"/>
      <c r="D95" s="13" t="s">
        <v>581</v>
      </c>
      <c r="E95" s="4">
        <v>37750</v>
      </c>
      <c r="F95" s="13" t="s">
        <v>582</v>
      </c>
      <c r="G95" s="122" t="s">
        <v>163</v>
      </c>
      <c r="H95" s="5" t="s">
        <v>29</v>
      </c>
    </row>
    <row r="96" spans="2:8" ht="45">
      <c r="B96" s="158"/>
      <c r="C96" s="163"/>
      <c r="D96" s="13" t="s">
        <v>583</v>
      </c>
      <c r="E96" s="4">
        <v>313925</v>
      </c>
      <c r="F96" s="13" t="s">
        <v>584</v>
      </c>
      <c r="G96" s="122" t="s">
        <v>163</v>
      </c>
      <c r="H96" s="5" t="s">
        <v>29</v>
      </c>
    </row>
    <row r="97" spans="2:8" ht="45">
      <c r="B97" s="158"/>
      <c r="C97" s="163"/>
      <c r="D97" s="13" t="s">
        <v>585</v>
      </c>
      <c r="E97" s="4">
        <v>32516</v>
      </c>
      <c r="F97" s="13" t="s">
        <v>586</v>
      </c>
      <c r="G97" s="122" t="s">
        <v>163</v>
      </c>
      <c r="H97" s="5" t="s">
        <v>29</v>
      </c>
    </row>
    <row r="98" spans="2:8" ht="45">
      <c r="B98" s="158"/>
      <c r="C98" s="163"/>
      <c r="D98" s="13" t="s">
        <v>587</v>
      </c>
      <c r="E98" s="4">
        <v>791667</v>
      </c>
      <c r="F98" s="13" t="s">
        <v>588</v>
      </c>
      <c r="G98" s="122" t="s">
        <v>163</v>
      </c>
      <c r="H98" s="5" t="s">
        <v>29</v>
      </c>
    </row>
    <row r="99" spans="2:8" ht="30">
      <c r="B99" s="158"/>
      <c r="C99" s="163"/>
      <c r="D99" s="13" t="s">
        <v>589</v>
      </c>
      <c r="E99" s="4">
        <v>408405</v>
      </c>
      <c r="F99" s="13" t="s">
        <v>590</v>
      </c>
      <c r="G99" s="122" t="s">
        <v>591</v>
      </c>
      <c r="H99" s="121" t="s">
        <v>592</v>
      </c>
    </row>
    <row r="100" spans="2:8" ht="30">
      <c r="B100" s="159"/>
      <c r="C100" s="163"/>
      <c r="D100" s="13" t="s">
        <v>593</v>
      </c>
      <c r="E100" s="4">
        <v>286555</v>
      </c>
      <c r="F100" s="13" t="s">
        <v>594</v>
      </c>
      <c r="G100" s="122" t="s">
        <v>595</v>
      </c>
      <c r="H100" s="121" t="s">
        <v>596</v>
      </c>
    </row>
    <row r="101" spans="2:8" ht="45">
      <c r="B101" s="157" t="s">
        <v>597</v>
      </c>
      <c r="C101" s="163"/>
      <c r="D101" s="13" t="s">
        <v>634</v>
      </c>
      <c r="E101" s="4">
        <v>123600</v>
      </c>
      <c r="F101" s="13" t="s">
        <v>635</v>
      </c>
      <c r="G101" s="128" t="s">
        <v>163</v>
      </c>
      <c r="H101" s="5" t="s">
        <v>29</v>
      </c>
    </row>
    <row r="102" spans="2:8" ht="45">
      <c r="B102" s="158"/>
      <c r="C102" s="163"/>
      <c r="D102" s="132" t="s">
        <v>636</v>
      </c>
      <c r="E102" s="4">
        <v>312708</v>
      </c>
      <c r="F102" s="13" t="s">
        <v>637</v>
      </c>
      <c r="G102" s="128" t="s">
        <v>163</v>
      </c>
      <c r="H102" s="5" t="s">
        <v>29</v>
      </c>
    </row>
    <row r="103" spans="2:8" ht="45">
      <c r="B103" s="158"/>
      <c r="C103" s="163"/>
      <c r="D103" s="13" t="s">
        <v>638</v>
      </c>
      <c r="E103" s="4">
        <v>11644</v>
      </c>
      <c r="F103" s="13" t="s">
        <v>639</v>
      </c>
      <c r="G103" s="128" t="s">
        <v>163</v>
      </c>
      <c r="H103" s="5" t="s">
        <v>29</v>
      </c>
    </row>
    <row r="104" spans="2:8" ht="45">
      <c r="B104" s="158"/>
      <c r="C104" s="163"/>
      <c r="D104" s="19" t="s">
        <v>640</v>
      </c>
      <c r="E104" s="4">
        <v>18425</v>
      </c>
      <c r="F104" s="13" t="s">
        <v>641</v>
      </c>
      <c r="G104" s="128" t="s">
        <v>163</v>
      </c>
      <c r="H104" s="5" t="s">
        <v>29</v>
      </c>
    </row>
    <row r="105" spans="2:8" ht="45">
      <c r="B105" s="158"/>
      <c r="C105" s="163"/>
      <c r="D105" s="97" t="s">
        <v>642</v>
      </c>
      <c r="E105" s="93">
        <v>11750</v>
      </c>
      <c r="F105" s="13" t="s">
        <v>643</v>
      </c>
      <c r="G105" s="128" t="s">
        <v>163</v>
      </c>
      <c r="H105" s="5" t="s">
        <v>29</v>
      </c>
    </row>
    <row r="106" spans="2:8" ht="45">
      <c r="B106" s="158"/>
      <c r="C106" s="163"/>
      <c r="D106" s="97" t="s">
        <v>644</v>
      </c>
      <c r="E106" s="93">
        <v>41666</v>
      </c>
      <c r="F106" s="13" t="s">
        <v>645</v>
      </c>
      <c r="G106" s="128" t="s">
        <v>163</v>
      </c>
      <c r="H106" s="5" t="s">
        <v>29</v>
      </c>
    </row>
    <row r="107" spans="2:8" ht="45">
      <c r="B107" s="159"/>
      <c r="C107" s="163"/>
      <c r="D107" s="96" t="s">
        <v>430</v>
      </c>
      <c r="E107" s="93">
        <v>112778</v>
      </c>
      <c r="F107" s="13" t="s">
        <v>646</v>
      </c>
      <c r="G107" s="128" t="s">
        <v>163</v>
      </c>
      <c r="H107" s="5" t="s">
        <v>29</v>
      </c>
    </row>
    <row r="108" spans="2:8" ht="45">
      <c r="B108" s="157" t="s">
        <v>650</v>
      </c>
      <c r="C108" s="163"/>
      <c r="D108" s="96" t="s">
        <v>150</v>
      </c>
      <c r="E108" s="4">
        <v>42500</v>
      </c>
      <c r="F108" s="13" t="s">
        <v>766</v>
      </c>
      <c r="G108" s="139" t="s">
        <v>163</v>
      </c>
      <c r="H108" s="5" t="s">
        <v>29</v>
      </c>
    </row>
    <row r="109" spans="2:8" ht="45">
      <c r="B109" s="158"/>
      <c r="C109" s="163"/>
      <c r="D109" s="96" t="s">
        <v>767</v>
      </c>
      <c r="E109" s="4">
        <v>39028</v>
      </c>
      <c r="F109" s="13" t="s">
        <v>768</v>
      </c>
      <c r="G109" s="139" t="s">
        <v>163</v>
      </c>
      <c r="H109" s="5" t="s">
        <v>29</v>
      </c>
    </row>
    <row r="110" spans="2:8" ht="45">
      <c r="B110" s="159"/>
      <c r="C110" s="163"/>
      <c r="D110" s="22" t="s">
        <v>291</v>
      </c>
      <c r="E110" s="4">
        <v>300</v>
      </c>
      <c r="F110" s="13" t="s">
        <v>769</v>
      </c>
      <c r="G110" s="139" t="s">
        <v>163</v>
      </c>
      <c r="H110" s="5" t="s">
        <v>29</v>
      </c>
    </row>
    <row r="111" spans="2:8" ht="45">
      <c r="B111" s="157" t="s">
        <v>770</v>
      </c>
      <c r="C111" s="163"/>
      <c r="D111" s="22" t="s">
        <v>293</v>
      </c>
      <c r="E111" s="4">
        <v>7187</v>
      </c>
      <c r="F111" s="13" t="s">
        <v>826</v>
      </c>
      <c r="G111" s="147" t="s">
        <v>163</v>
      </c>
      <c r="H111" s="5" t="s">
        <v>29</v>
      </c>
    </row>
    <row r="112" spans="2:8" ht="45">
      <c r="B112" s="158"/>
      <c r="C112" s="163"/>
      <c r="D112" s="22" t="s">
        <v>827</v>
      </c>
      <c r="E112" s="4">
        <v>313925</v>
      </c>
      <c r="F112" s="13" t="s">
        <v>828</v>
      </c>
      <c r="G112" s="147" t="s">
        <v>163</v>
      </c>
      <c r="H112" s="5" t="s">
        <v>29</v>
      </c>
    </row>
    <row r="113" spans="2:8" ht="60">
      <c r="B113" s="158"/>
      <c r="C113" s="163"/>
      <c r="D113" s="22" t="s">
        <v>833</v>
      </c>
      <c r="E113" s="4">
        <v>870833</v>
      </c>
      <c r="F113" s="13" t="s">
        <v>834</v>
      </c>
      <c r="G113" s="147" t="s">
        <v>163</v>
      </c>
      <c r="H113" s="5" t="s">
        <v>29</v>
      </c>
    </row>
    <row r="114" spans="2:8" ht="45">
      <c r="B114" s="158"/>
      <c r="C114" s="163"/>
      <c r="D114" s="22" t="s">
        <v>835</v>
      </c>
      <c r="E114" s="4">
        <v>282750</v>
      </c>
      <c r="F114" s="13" t="s">
        <v>836</v>
      </c>
      <c r="G114" s="147" t="s">
        <v>163</v>
      </c>
      <c r="H114" s="5" t="s">
        <v>29</v>
      </c>
    </row>
    <row r="115" spans="2:8" ht="45">
      <c r="B115" s="158"/>
      <c r="C115" s="163"/>
      <c r="D115" s="22" t="s">
        <v>829</v>
      </c>
      <c r="E115" s="4">
        <v>32516</v>
      </c>
      <c r="F115" s="13" t="s">
        <v>830</v>
      </c>
      <c r="G115" s="147" t="s">
        <v>163</v>
      </c>
      <c r="H115" s="5" t="s">
        <v>29</v>
      </c>
    </row>
    <row r="116" spans="2:8" ht="45">
      <c r="B116" s="159"/>
      <c r="C116" s="164"/>
      <c r="D116" s="22" t="s">
        <v>831</v>
      </c>
      <c r="E116" s="4">
        <v>41525</v>
      </c>
      <c r="F116" s="13" t="s">
        <v>832</v>
      </c>
      <c r="G116" s="147" t="s">
        <v>163</v>
      </c>
      <c r="H116" s="5" t="s">
        <v>29</v>
      </c>
    </row>
    <row r="117" spans="2:8" ht="15.75">
      <c r="B117" s="128"/>
      <c r="C117" s="130"/>
      <c r="D117" s="19"/>
      <c r="E117" s="4"/>
      <c r="F117" s="13"/>
      <c r="G117" s="128"/>
      <c r="H117" s="129"/>
    </row>
    <row r="118" spans="2:8" ht="15.75" customHeight="1">
      <c r="B118" s="166" t="s">
        <v>33</v>
      </c>
      <c r="C118" s="167"/>
      <c r="D118" s="13"/>
      <c r="E118" s="5">
        <f>SUM(E62:E117)</f>
        <v>9586599</v>
      </c>
      <c r="F118" s="13"/>
      <c r="G118" s="13"/>
      <c r="H118" s="5"/>
    </row>
    <row r="119" spans="2:8" ht="30" customHeight="1">
      <c r="B119" s="165" t="s">
        <v>38</v>
      </c>
      <c r="C119" s="162" t="s">
        <v>24</v>
      </c>
      <c r="D119" s="13" t="s">
        <v>60</v>
      </c>
      <c r="E119" s="4">
        <v>52920</v>
      </c>
      <c r="F119" s="17" t="s">
        <v>61</v>
      </c>
      <c r="G119" s="5" t="s">
        <v>62</v>
      </c>
      <c r="H119" s="5" t="s">
        <v>31</v>
      </c>
    </row>
    <row r="120" spans="2:8" ht="45">
      <c r="B120" s="165"/>
      <c r="C120" s="163"/>
      <c r="D120" s="13" t="s">
        <v>63</v>
      </c>
      <c r="E120" s="4">
        <v>505390</v>
      </c>
      <c r="F120" s="13" t="s">
        <v>64</v>
      </c>
      <c r="G120" s="73" t="s">
        <v>65</v>
      </c>
      <c r="H120" s="5" t="s">
        <v>31</v>
      </c>
    </row>
    <row r="121" spans="2:8" ht="30">
      <c r="B121" s="165"/>
      <c r="C121" s="163"/>
      <c r="D121" s="13" t="s">
        <v>66</v>
      </c>
      <c r="E121" s="4">
        <v>132300</v>
      </c>
      <c r="F121" s="13" t="s">
        <v>67</v>
      </c>
      <c r="G121" s="73" t="s">
        <v>68</v>
      </c>
      <c r="H121" s="5" t="s">
        <v>31</v>
      </c>
    </row>
    <row r="122" spans="2:8" ht="30">
      <c r="B122" s="42" t="s">
        <v>74</v>
      </c>
      <c r="C122" s="163"/>
      <c r="D122" s="13" t="s">
        <v>158</v>
      </c>
      <c r="E122" s="4">
        <v>296985</v>
      </c>
      <c r="F122" s="13" t="s">
        <v>159</v>
      </c>
      <c r="G122" s="73" t="s">
        <v>83</v>
      </c>
      <c r="H122" s="5" t="s">
        <v>31</v>
      </c>
    </row>
    <row r="123" spans="2:8" ht="30">
      <c r="B123" s="157" t="s">
        <v>160</v>
      </c>
      <c r="C123" s="163"/>
      <c r="D123" s="13" t="s">
        <v>301</v>
      </c>
      <c r="E123" s="4">
        <v>74754</v>
      </c>
      <c r="F123" s="13" t="s">
        <v>300</v>
      </c>
      <c r="G123" s="73" t="s">
        <v>299</v>
      </c>
      <c r="H123" s="5" t="s">
        <v>31</v>
      </c>
    </row>
    <row r="124" spans="2:8" ht="30">
      <c r="B124" s="158"/>
      <c r="C124" s="163"/>
      <c r="D124" s="13" t="s">
        <v>302</v>
      </c>
      <c r="E124" s="4">
        <v>206289</v>
      </c>
      <c r="F124" s="13" t="s">
        <v>303</v>
      </c>
      <c r="G124" s="73" t="s">
        <v>304</v>
      </c>
      <c r="H124" s="5" t="s">
        <v>31</v>
      </c>
    </row>
    <row r="125" spans="2:8" ht="30">
      <c r="B125" s="159"/>
      <c r="C125" s="163"/>
      <c r="D125" s="13" t="s">
        <v>305</v>
      </c>
      <c r="E125" s="4">
        <v>66245</v>
      </c>
      <c r="F125" s="13" t="s">
        <v>306</v>
      </c>
      <c r="G125" s="73" t="s">
        <v>307</v>
      </c>
      <c r="H125" s="5" t="s">
        <v>31</v>
      </c>
    </row>
    <row r="126" spans="2:8" ht="30">
      <c r="B126" s="157" t="s">
        <v>308</v>
      </c>
      <c r="C126" s="163"/>
      <c r="D126" s="13" t="s">
        <v>302</v>
      </c>
      <c r="E126" s="4">
        <v>2668</v>
      </c>
      <c r="F126" s="13" t="s">
        <v>367</v>
      </c>
      <c r="G126" s="73" t="s">
        <v>368</v>
      </c>
      <c r="H126" s="5" t="s">
        <v>31</v>
      </c>
    </row>
    <row r="127" spans="2:8" ht="45">
      <c r="B127" s="158"/>
      <c r="C127" s="163"/>
      <c r="D127" s="13" t="s">
        <v>301</v>
      </c>
      <c r="E127" s="4">
        <v>311744</v>
      </c>
      <c r="F127" s="13" t="s">
        <v>369</v>
      </c>
      <c r="G127" s="73" t="s">
        <v>368</v>
      </c>
      <c r="H127" s="5" t="s">
        <v>31</v>
      </c>
    </row>
    <row r="128" spans="2:8" ht="30">
      <c r="B128" s="159"/>
      <c r="C128" s="163"/>
      <c r="D128" s="13" t="s">
        <v>370</v>
      </c>
      <c r="E128" s="4">
        <v>58952</v>
      </c>
      <c r="F128" s="13" t="s">
        <v>371</v>
      </c>
      <c r="G128" s="73" t="s">
        <v>372</v>
      </c>
      <c r="H128" s="5" t="s">
        <v>31</v>
      </c>
    </row>
    <row r="129" spans="2:8" ht="30">
      <c r="B129" s="21" t="s">
        <v>373</v>
      </c>
      <c r="C129" s="163"/>
      <c r="D129" s="106" t="s">
        <v>435</v>
      </c>
      <c r="E129" s="4">
        <v>38288</v>
      </c>
      <c r="F129" s="13" t="s">
        <v>436</v>
      </c>
      <c r="G129" s="5" t="s">
        <v>437</v>
      </c>
      <c r="H129" s="5" t="s">
        <v>31</v>
      </c>
    </row>
    <row r="130" spans="2:8" ht="30">
      <c r="B130" s="157" t="s">
        <v>438</v>
      </c>
      <c r="C130" s="163"/>
      <c r="D130" s="13" t="s">
        <v>444</v>
      </c>
      <c r="E130" s="4">
        <v>41675</v>
      </c>
      <c r="F130" s="13" t="s">
        <v>445</v>
      </c>
      <c r="G130" s="110" t="s">
        <v>446</v>
      </c>
      <c r="H130" s="5" t="s">
        <v>31</v>
      </c>
    </row>
    <row r="131" spans="2:8" ht="30">
      <c r="B131" s="159"/>
      <c r="C131" s="163"/>
      <c r="D131" s="13" t="s">
        <v>447</v>
      </c>
      <c r="E131" s="4">
        <v>588323</v>
      </c>
      <c r="F131" s="13" t="s">
        <v>448</v>
      </c>
      <c r="G131" s="5" t="s">
        <v>449</v>
      </c>
      <c r="H131" s="5" t="s">
        <v>31</v>
      </c>
    </row>
    <row r="132" spans="2:8">
      <c r="B132" s="42" t="s">
        <v>540</v>
      </c>
      <c r="C132" s="163"/>
      <c r="D132" s="26" t="s">
        <v>32</v>
      </c>
      <c r="E132" s="4">
        <v>0</v>
      </c>
      <c r="F132" s="13" t="s">
        <v>32</v>
      </c>
      <c r="G132" s="4" t="s">
        <v>32</v>
      </c>
      <c r="H132" s="5" t="s">
        <v>32</v>
      </c>
    </row>
    <row r="133" spans="2:8" ht="45">
      <c r="B133" s="21" t="s">
        <v>597</v>
      </c>
      <c r="C133" s="163"/>
      <c r="D133" s="13" t="s">
        <v>647</v>
      </c>
      <c r="E133" s="4">
        <v>481355</v>
      </c>
      <c r="F133" s="13" t="s">
        <v>648</v>
      </c>
      <c r="G133" s="5" t="s">
        <v>649</v>
      </c>
      <c r="H133" s="5" t="s">
        <v>31</v>
      </c>
    </row>
    <row r="134" spans="2:8">
      <c r="B134" s="42" t="s">
        <v>650</v>
      </c>
      <c r="C134" s="163"/>
      <c r="D134" s="26" t="s">
        <v>32</v>
      </c>
      <c r="E134" s="4">
        <v>0</v>
      </c>
      <c r="F134" s="26" t="s">
        <v>32</v>
      </c>
      <c r="G134" s="4" t="s">
        <v>32</v>
      </c>
      <c r="H134" s="4" t="s">
        <v>32</v>
      </c>
    </row>
    <row r="135" spans="2:8" ht="15" customHeight="1">
      <c r="B135" s="148" t="s">
        <v>770</v>
      </c>
      <c r="C135" s="163"/>
      <c r="D135" s="26" t="s">
        <v>32</v>
      </c>
      <c r="E135" s="4">
        <v>0</v>
      </c>
      <c r="F135" s="26" t="s">
        <v>32</v>
      </c>
      <c r="G135" s="4" t="s">
        <v>32</v>
      </c>
      <c r="H135" s="4" t="s">
        <v>32</v>
      </c>
    </row>
    <row r="136" spans="2:8" ht="15" customHeight="1">
      <c r="B136" s="49"/>
      <c r="C136" s="163"/>
      <c r="D136" s="26"/>
      <c r="E136" s="4"/>
      <c r="F136" s="26"/>
      <c r="G136" s="4"/>
      <c r="H136" s="4"/>
    </row>
    <row r="137" spans="2:8">
      <c r="B137" s="49"/>
      <c r="C137" s="163"/>
      <c r="D137" s="13"/>
      <c r="E137" s="4"/>
      <c r="F137" s="13"/>
      <c r="G137" s="4"/>
      <c r="H137" s="4"/>
    </row>
    <row r="138" spans="2:8">
      <c r="B138" s="157"/>
      <c r="C138" s="163"/>
      <c r="D138" s="13"/>
      <c r="E138" s="4"/>
      <c r="F138" s="13"/>
      <c r="G138" s="4"/>
      <c r="H138" s="5"/>
    </row>
    <row r="139" spans="2:8">
      <c r="B139" s="158"/>
      <c r="C139" s="163"/>
      <c r="D139" s="13"/>
      <c r="E139" s="4"/>
      <c r="F139" s="13"/>
      <c r="G139" s="4"/>
      <c r="H139" s="5"/>
    </row>
    <row r="140" spans="2:8">
      <c r="B140" s="159"/>
      <c r="C140" s="163"/>
      <c r="D140" s="13"/>
      <c r="E140" s="4"/>
      <c r="F140" s="13"/>
      <c r="G140" s="4"/>
      <c r="H140" s="5"/>
    </row>
    <row r="141" spans="2:8">
      <c r="B141" s="157"/>
      <c r="C141" s="163"/>
      <c r="D141" s="13"/>
      <c r="E141" s="4"/>
      <c r="F141" s="13"/>
      <c r="G141" s="4"/>
      <c r="H141" s="5"/>
    </row>
    <row r="142" spans="2:8">
      <c r="B142" s="159"/>
      <c r="C142" s="164"/>
      <c r="D142" s="13"/>
      <c r="E142" s="4"/>
      <c r="F142" s="13"/>
      <c r="G142" s="4"/>
      <c r="H142" s="5"/>
    </row>
    <row r="143" spans="2:8">
      <c r="B143" s="160" t="s">
        <v>33</v>
      </c>
      <c r="C143" s="161"/>
      <c r="D143" s="10"/>
      <c r="E143" s="14">
        <f>SUM(E119:E142)</f>
        <v>2857888</v>
      </c>
      <c r="F143" s="10"/>
      <c r="G143" s="10"/>
      <c r="H143" s="10"/>
    </row>
    <row r="144" spans="2:8">
      <c r="B144" s="160" t="s">
        <v>34</v>
      </c>
      <c r="C144" s="161"/>
      <c r="D144" s="10"/>
      <c r="E144" s="37">
        <f>(E17+E34+E61+E118+E143)</f>
        <v>20368165</v>
      </c>
      <c r="F144" s="10"/>
      <c r="G144" s="10"/>
      <c r="H144" s="10"/>
    </row>
  </sheetData>
  <mergeCells count="45">
    <mergeCell ref="B108:B110"/>
    <mergeCell ref="B93:B100"/>
    <mergeCell ref="B43:B44"/>
    <mergeCell ref="B35:B36"/>
    <mergeCell ref="B62:B63"/>
    <mergeCell ref="B64:B70"/>
    <mergeCell ref="B61:C61"/>
    <mergeCell ref="B46:B48"/>
    <mergeCell ref="B49:B50"/>
    <mergeCell ref="B38:B42"/>
    <mergeCell ref="B52:B56"/>
    <mergeCell ref="B57:B59"/>
    <mergeCell ref="C35:C59"/>
    <mergeCell ref="B91:B92"/>
    <mergeCell ref="H3:H4"/>
    <mergeCell ref="C3:C4"/>
    <mergeCell ref="D3:D4"/>
    <mergeCell ref="G3:G4"/>
    <mergeCell ref="B3:B4"/>
    <mergeCell ref="E3:E4"/>
    <mergeCell ref="F3:F4"/>
    <mergeCell ref="C5:C16"/>
    <mergeCell ref="B17:C17"/>
    <mergeCell ref="B34:C34"/>
    <mergeCell ref="C18:C33"/>
    <mergeCell ref="B19:B20"/>
    <mergeCell ref="B23:B24"/>
    <mergeCell ref="B27:B28"/>
    <mergeCell ref="B29:B31"/>
    <mergeCell ref="B71:B74"/>
    <mergeCell ref="B75:B83"/>
    <mergeCell ref="B84:B90"/>
    <mergeCell ref="B101:B107"/>
    <mergeCell ref="B144:C144"/>
    <mergeCell ref="B143:C143"/>
    <mergeCell ref="C119:C142"/>
    <mergeCell ref="B141:B142"/>
    <mergeCell ref="B138:B140"/>
    <mergeCell ref="B119:B121"/>
    <mergeCell ref="B123:B125"/>
    <mergeCell ref="B126:B128"/>
    <mergeCell ref="B130:B131"/>
    <mergeCell ref="B118:C118"/>
    <mergeCell ref="B111:B116"/>
    <mergeCell ref="C62:C116"/>
  </mergeCells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H96"/>
  <sheetViews>
    <sheetView zoomScaleSheetLayoutView="100" workbookViewId="0">
      <selection activeCell="D80" sqref="D80"/>
    </sheetView>
  </sheetViews>
  <sheetFormatPr defaultRowHeight="15"/>
  <cols>
    <col min="1" max="1" width="9.140625" style="1"/>
    <col min="2" max="2" width="11" style="1" customWidth="1"/>
    <col min="3" max="3" width="14.7109375" style="1" customWidth="1"/>
    <col min="4" max="4" width="37.140625" style="1" customWidth="1"/>
    <col min="5" max="5" width="20.7109375" style="1" customWidth="1"/>
    <col min="6" max="6" width="18.42578125" style="1" customWidth="1"/>
    <col min="7" max="7" width="12.28515625" style="1" customWidth="1"/>
    <col min="8" max="8" width="12.42578125" style="1" customWidth="1"/>
    <col min="9" max="9" width="13.42578125" style="1" customWidth="1"/>
    <col min="10" max="16384" width="9.140625" style="1"/>
  </cols>
  <sheetData>
    <row r="1" spans="2:8">
      <c r="B1" s="2" t="s">
        <v>4</v>
      </c>
    </row>
    <row r="2" spans="2:8">
      <c r="B2" s="2" t="s">
        <v>2</v>
      </c>
    </row>
    <row r="3" spans="2:8">
      <c r="B3" s="172" t="s">
        <v>14</v>
      </c>
      <c r="C3" s="171" t="s">
        <v>8</v>
      </c>
      <c r="D3" s="172" t="s">
        <v>0</v>
      </c>
      <c r="E3" s="171" t="s">
        <v>28</v>
      </c>
      <c r="F3" s="172" t="s">
        <v>26</v>
      </c>
      <c r="G3" s="173" t="s">
        <v>27</v>
      </c>
      <c r="H3" s="170" t="s">
        <v>1</v>
      </c>
    </row>
    <row r="4" spans="2:8">
      <c r="B4" s="172"/>
      <c r="C4" s="171"/>
      <c r="D4" s="172"/>
      <c r="E4" s="171"/>
      <c r="F4" s="172"/>
      <c r="G4" s="173"/>
      <c r="H4" s="170"/>
    </row>
    <row r="5" spans="2:8" ht="45">
      <c r="B5" s="9" t="s">
        <v>43</v>
      </c>
      <c r="C5" s="162" t="s">
        <v>17</v>
      </c>
      <c r="D5" s="13" t="s">
        <v>39</v>
      </c>
      <c r="E5" s="4">
        <v>487750</v>
      </c>
      <c r="F5" s="13" t="s">
        <v>47</v>
      </c>
      <c r="G5" s="5" t="s">
        <v>163</v>
      </c>
      <c r="H5" s="5" t="s">
        <v>30</v>
      </c>
    </row>
    <row r="6" spans="2:8" ht="15" customHeight="1">
      <c r="B6" s="9" t="s">
        <v>74</v>
      </c>
      <c r="C6" s="163"/>
      <c r="D6" s="4" t="s">
        <v>32</v>
      </c>
      <c r="E6" s="4">
        <v>0</v>
      </c>
      <c r="F6" s="4" t="s">
        <v>32</v>
      </c>
      <c r="G6" s="4" t="s">
        <v>32</v>
      </c>
      <c r="H6" s="4" t="s">
        <v>32</v>
      </c>
    </row>
    <row r="7" spans="2:8" ht="15" customHeight="1">
      <c r="B7" s="9" t="s">
        <v>160</v>
      </c>
      <c r="C7" s="163"/>
      <c r="D7" s="4" t="s">
        <v>32</v>
      </c>
      <c r="E7" s="4">
        <v>0</v>
      </c>
      <c r="F7" s="4" t="s">
        <v>32</v>
      </c>
      <c r="G7" s="4" t="s">
        <v>32</v>
      </c>
      <c r="H7" s="4" t="s">
        <v>32</v>
      </c>
    </row>
    <row r="8" spans="2:8" ht="45">
      <c r="B8" s="9" t="s">
        <v>308</v>
      </c>
      <c r="C8" s="163"/>
      <c r="D8" s="13" t="s">
        <v>338</v>
      </c>
      <c r="E8" s="4">
        <v>502383</v>
      </c>
      <c r="F8" s="13" t="s">
        <v>339</v>
      </c>
      <c r="G8" s="5" t="s">
        <v>163</v>
      </c>
      <c r="H8" s="5" t="s">
        <v>30</v>
      </c>
    </row>
    <row r="9" spans="2:8" ht="15" customHeight="1">
      <c r="B9" s="9" t="s">
        <v>373</v>
      </c>
      <c r="C9" s="163"/>
      <c r="D9" s="4" t="s">
        <v>32</v>
      </c>
      <c r="E9" s="4">
        <v>0</v>
      </c>
      <c r="F9" s="4" t="s">
        <v>32</v>
      </c>
      <c r="G9" s="4" t="s">
        <v>32</v>
      </c>
      <c r="H9" s="4" t="s">
        <v>32</v>
      </c>
    </row>
    <row r="10" spans="2:8" ht="15.75" customHeight="1">
      <c r="B10" s="9" t="s">
        <v>438</v>
      </c>
      <c r="C10" s="163"/>
      <c r="D10" s="4" t="s">
        <v>32</v>
      </c>
      <c r="E10" s="4">
        <v>0</v>
      </c>
      <c r="F10" s="4" t="s">
        <v>32</v>
      </c>
      <c r="G10" s="4" t="s">
        <v>32</v>
      </c>
      <c r="H10" s="4" t="s">
        <v>32</v>
      </c>
    </row>
    <row r="11" spans="2:8" ht="45">
      <c r="B11" s="21" t="s">
        <v>540</v>
      </c>
      <c r="C11" s="163"/>
      <c r="D11" s="13" t="s">
        <v>563</v>
      </c>
      <c r="E11" s="4">
        <v>492627</v>
      </c>
      <c r="F11" s="13" t="s">
        <v>564</v>
      </c>
      <c r="G11" s="5" t="s">
        <v>163</v>
      </c>
      <c r="H11" s="5" t="s">
        <v>30</v>
      </c>
    </row>
    <row r="12" spans="2:8">
      <c r="B12" s="42" t="s">
        <v>597</v>
      </c>
      <c r="C12" s="163"/>
      <c r="D12" s="26" t="s">
        <v>32</v>
      </c>
      <c r="E12" s="4">
        <v>0</v>
      </c>
      <c r="F12" s="26" t="s">
        <v>32</v>
      </c>
      <c r="G12" s="4" t="s">
        <v>32</v>
      </c>
      <c r="H12" s="4" t="s">
        <v>32</v>
      </c>
    </row>
    <row r="13" spans="2:8" ht="15.75" customHeight="1">
      <c r="B13" s="138" t="s">
        <v>650</v>
      </c>
      <c r="C13" s="163"/>
      <c r="D13" s="4" t="s">
        <v>32</v>
      </c>
      <c r="E13" s="4">
        <v>0</v>
      </c>
      <c r="F13" s="4" t="s">
        <v>32</v>
      </c>
      <c r="G13" s="4" t="s">
        <v>32</v>
      </c>
      <c r="H13" s="4" t="s">
        <v>32</v>
      </c>
    </row>
    <row r="14" spans="2:8">
      <c r="B14" s="123" t="s">
        <v>770</v>
      </c>
      <c r="C14" s="163"/>
      <c r="D14" s="26" t="s">
        <v>32</v>
      </c>
      <c r="E14" s="4">
        <v>0</v>
      </c>
      <c r="F14" s="26" t="s">
        <v>32</v>
      </c>
      <c r="G14" s="4" t="s">
        <v>32</v>
      </c>
      <c r="H14" s="4" t="s">
        <v>32</v>
      </c>
    </row>
    <row r="15" spans="2:8">
      <c r="B15" s="51"/>
      <c r="C15" s="163"/>
      <c r="D15" s="26"/>
      <c r="E15" s="4"/>
      <c r="F15" s="26"/>
      <c r="G15" s="4"/>
      <c r="H15" s="4"/>
    </row>
    <row r="16" spans="2:8" ht="15.75" customHeight="1">
      <c r="B16" s="60"/>
      <c r="C16" s="163"/>
      <c r="D16" s="4"/>
      <c r="E16" s="4"/>
      <c r="F16" s="4"/>
      <c r="G16" s="4"/>
      <c r="H16" s="4"/>
    </row>
    <row r="17" spans="2:8" ht="15.75" customHeight="1">
      <c r="B17" s="160" t="s">
        <v>33</v>
      </c>
      <c r="C17" s="161"/>
      <c r="D17" s="4"/>
      <c r="E17" s="5">
        <f>SUM(E5:E16)</f>
        <v>1482760</v>
      </c>
      <c r="F17" s="4"/>
      <c r="G17" s="4"/>
      <c r="H17" s="4"/>
    </row>
    <row r="18" spans="2:8" ht="15" customHeight="1">
      <c r="B18" s="21" t="s">
        <v>43</v>
      </c>
      <c r="C18" s="162" t="s">
        <v>18</v>
      </c>
      <c r="D18" s="4" t="s">
        <v>32</v>
      </c>
      <c r="E18" s="4">
        <v>0</v>
      </c>
      <c r="F18" s="4" t="s">
        <v>32</v>
      </c>
      <c r="G18" s="4" t="s">
        <v>32</v>
      </c>
      <c r="H18" s="4" t="s">
        <v>32</v>
      </c>
    </row>
    <row r="19" spans="2:8">
      <c r="B19" s="21" t="s">
        <v>74</v>
      </c>
      <c r="C19" s="163"/>
      <c r="D19" s="26" t="s">
        <v>32</v>
      </c>
      <c r="E19" s="4">
        <v>0</v>
      </c>
      <c r="F19" s="26" t="s">
        <v>32</v>
      </c>
      <c r="G19" s="4" t="s">
        <v>32</v>
      </c>
      <c r="H19" s="4" t="s">
        <v>32</v>
      </c>
    </row>
    <row r="20" spans="2:8">
      <c r="B20" s="42" t="s">
        <v>160</v>
      </c>
      <c r="C20" s="163"/>
      <c r="D20" s="26" t="s">
        <v>32</v>
      </c>
      <c r="E20" s="4">
        <v>0</v>
      </c>
      <c r="F20" s="26" t="s">
        <v>32</v>
      </c>
      <c r="G20" s="4" t="s">
        <v>32</v>
      </c>
      <c r="H20" s="4" t="s">
        <v>32</v>
      </c>
    </row>
    <row r="21" spans="2:8" ht="15" customHeight="1">
      <c r="B21" s="23" t="s">
        <v>308</v>
      </c>
      <c r="C21" s="163"/>
      <c r="D21" s="4" t="s">
        <v>32</v>
      </c>
      <c r="E21" s="4">
        <v>0</v>
      </c>
      <c r="F21" s="4" t="s">
        <v>32</v>
      </c>
      <c r="G21" s="4" t="s">
        <v>32</v>
      </c>
      <c r="H21" s="4" t="s">
        <v>32</v>
      </c>
    </row>
    <row r="22" spans="2:8" ht="15" customHeight="1">
      <c r="B22" s="23" t="s">
        <v>373</v>
      </c>
      <c r="C22" s="163"/>
      <c r="D22" s="4" t="s">
        <v>32</v>
      </c>
      <c r="E22" s="4">
        <v>0</v>
      </c>
      <c r="F22" s="4" t="s">
        <v>32</v>
      </c>
      <c r="G22" s="4" t="s">
        <v>32</v>
      </c>
      <c r="H22" s="4" t="s">
        <v>32</v>
      </c>
    </row>
    <row r="23" spans="2:8">
      <c r="B23" s="23" t="s">
        <v>438</v>
      </c>
      <c r="C23" s="163"/>
      <c r="D23" s="26" t="s">
        <v>32</v>
      </c>
      <c r="E23" s="4">
        <v>0</v>
      </c>
      <c r="F23" s="26" t="s">
        <v>32</v>
      </c>
      <c r="G23" s="4" t="s">
        <v>32</v>
      </c>
      <c r="H23" s="4" t="s">
        <v>32</v>
      </c>
    </row>
    <row r="24" spans="2:8">
      <c r="B24" s="23" t="s">
        <v>540</v>
      </c>
      <c r="C24" s="163"/>
      <c r="D24" s="26" t="s">
        <v>32</v>
      </c>
      <c r="E24" s="4">
        <v>0</v>
      </c>
      <c r="F24" s="26" t="s">
        <v>32</v>
      </c>
      <c r="G24" s="4" t="s">
        <v>32</v>
      </c>
      <c r="H24" s="4" t="s">
        <v>32</v>
      </c>
    </row>
    <row r="25" spans="2:8">
      <c r="B25" s="21" t="s">
        <v>597</v>
      </c>
      <c r="C25" s="163"/>
      <c r="D25" s="4" t="s">
        <v>32</v>
      </c>
      <c r="E25" s="4">
        <v>0</v>
      </c>
      <c r="F25" s="4" t="s">
        <v>32</v>
      </c>
      <c r="G25" s="4" t="s">
        <v>32</v>
      </c>
      <c r="H25" s="4" t="s">
        <v>32</v>
      </c>
    </row>
    <row r="26" spans="2:8">
      <c r="B26" s="42" t="s">
        <v>650</v>
      </c>
      <c r="C26" s="163"/>
      <c r="D26" s="26" t="s">
        <v>32</v>
      </c>
      <c r="E26" s="4">
        <v>0</v>
      </c>
      <c r="F26" s="26" t="s">
        <v>32</v>
      </c>
      <c r="G26" s="4" t="s">
        <v>32</v>
      </c>
      <c r="H26" s="4" t="s">
        <v>32</v>
      </c>
    </row>
    <row r="27" spans="2:8" ht="15.75" customHeight="1">
      <c r="B27" s="123" t="s">
        <v>770</v>
      </c>
      <c r="C27" s="163"/>
      <c r="D27" s="4" t="s">
        <v>32</v>
      </c>
      <c r="E27" s="4">
        <v>0</v>
      </c>
      <c r="F27" s="4" t="s">
        <v>32</v>
      </c>
      <c r="G27" s="4" t="s">
        <v>32</v>
      </c>
      <c r="H27" s="4" t="s">
        <v>32</v>
      </c>
    </row>
    <row r="28" spans="2:8">
      <c r="B28" s="21"/>
      <c r="C28" s="163"/>
      <c r="D28" s="26"/>
      <c r="E28" s="4"/>
      <c r="F28" s="26"/>
      <c r="G28" s="4"/>
      <c r="H28" s="4"/>
    </row>
    <row r="29" spans="2:8">
      <c r="B29" s="42"/>
      <c r="C29" s="163"/>
      <c r="D29" s="13"/>
      <c r="E29" s="4"/>
      <c r="F29" s="13"/>
      <c r="G29" s="5"/>
      <c r="H29" s="5"/>
    </row>
    <row r="30" spans="2:8">
      <c r="B30" s="60"/>
      <c r="C30" s="164"/>
      <c r="D30" s="4"/>
      <c r="E30" s="4"/>
      <c r="F30" s="4"/>
      <c r="G30" s="4"/>
      <c r="H30" s="4"/>
    </row>
    <row r="31" spans="2:8" ht="15.75" customHeight="1">
      <c r="B31" s="176" t="s">
        <v>33</v>
      </c>
      <c r="C31" s="177"/>
      <c r="D31" s="4"/>
      <c r="E31" s="5">
        <f>SUM(E18:E30)</f>
        <v>0</v>
      </c>
      <c r="F31" s="4"/>
      <c r="G31" s="4"/>
      <c r="H31" s="4"/>
    </row>
    <row r="32" spans="2:8" ht="45">
      <c r="B32" s="165" t="s">
        <v>43</v>
      </c>
      <c r="C32" s="162" t="s">
        <v>19</v>
      </c>
      <c r="D32" s="12" t="s">
        <v>48</v>
      </c>
      <c r="E32" s="4">
        <v>46250</v>
      </c>
      <c r="F32" s="13" t="s">
        <v>49</v>
      </c>
      <c r="G32" s="5" t="s">
        <v>163</v>
      </c>
      <c r="H32" s="5" t="s">
        <v>30</v>
      </c>
    </row>
    <row r="33" spans="2:8" ht="45">
      <c r="B33" s="165"/>
      <c r="C33" s="163"/>
      <c r="D33" s="12" t="s">
        <v>35</v>
      </c>
      <c r="E33" s="4">
        <v>125000</v>
      </c>
      <c r="F33" s="13" t="s">
        <v>50</v>
      </c>
      <c r="G33" s="5" t="s">
        <v>163</v>
      </c>
      <c r="H33" s="5" t="s">
        <v>30</v>
      </c>
    </row>
    <row r="34" spans="2:8" ht="45">
      <c r="B34" s="21" t="s">
        <v>74</v>
      </c>
      <c r="C34" s="163"/>
      <c r="D34" s="12" t="s">
        <v>118</v>
      </c>
      <c r="E34" s="4">
        <v>475250</v>
      </c>
      <c r="F34" s="13" t="s">
        <v>119</v>
      </c>
      <c r="G34" s="5" t="s">
        <v>163</v>
      </c>
      <c r="H34" s="5" t="s">
        <v>30</v>
      </c>
    </row>
    <row r="35" spans="2:8">
      <c r="B35" s="21" t="s">
        <v>160</v>
      </c>
      <c r="C35" s="163"/>
      <c r="D35" s="28" t="s">
        <v>32</v>
      </c>
      <c r="E35" s="4">
        <v>0</v>
      </c>
      <c r="F35" s="26" t="s">
        <v>32</v>
      </c>
      <c r="G35" s="4" t="s">
        <v>32</v>
      </c>
      <c r="H35" s="4" t="s">
        <v>32</v>
      </c>
    </row>
    <row r="36" spans="2:8" ht="45">
      <c r="B36" s="21" t="s">
        <v>308</v>
      </c>
      <c r="C36" s="163"/>
      <c r="D36" s="12" t="s">
        <v>340</v>
      </c>
      <c r="E36" s="4">
        <v>46250</v>
      </c>
      <c r="F36" s="13" t="s">
        <v>341</v>
      </c>
      <c r="G36" s="5" t="s">
        <v>163</v>
      </c>
      <c r="H36" s="5" t="s">
        <v>30</v>
      </c>
    </row>
    <row r="37" spans="2:8" ht="45">
      <c r="B37" s="157" t="s">
        <v>373</v>
      </c>
      <c r="C37" s="163"/>
      <c r="D37" s="22" t="s">
        <v>413</v>
      </c>
      <c r="E37" s="4">
        <v>475250</v>
      </c>
      <c r="F37" s="13" t="s">
        <v>414</v>
      </c>
      <c r="G37" s="5" t="s">
        <v>163</v>
      </c>
      <c r="H37" s="5" t="s">
        <v>30</v>
      </c>
    </row>
    <row r="38" spans="2:8" ht="45">
      <c r="B38" s="159"/>
      <c r="C38" s="163"/>
      <c r="D38" s="12" t="s">
        <v>35</v>
      </c>
      <c r="E38" s="4">
        <v>125000</v>
      </c>
      <c r="F38" s="13" t="s">
        <v>415</v>
      </c>
      <c r="G38" s="5" t="s">
        <v>163</v>
      </c>
      <c r="H38" s="5" t="s">
        <v>30</v>
      </c>
    </row>
    <row r="39" spans="2:8">
      <c r="B39" s="21" t="s">
        <v>438</v>
      </c>
      <c r="C39" s="163"/>
      <c r="D39" s="4" t="s">
        <v>32</v>
      </c>
      <c r="E39" s="4">
        <v>0</v>
      </c>
      <c r="F39" s="4" t="s">
        <v>32</v>
      </c>
      <c r="G39" s="4" t="s">
        <v>32</v>
      </c>
      <c r="H39" s="4" t="s">
        <v>32</v>
      </c>
    </row>
    <row r="40" spans="2:8" ht="45">
      <c r="B40" s="21" t="s">
        <v>540</v>
      </c>
      <c r="C40" s="163"/>
      <c r="D40" s="12" t="s">
        <v>48</v>
      </c>
      <c r="E40" s="4">
        <v>46250</v>
      </c>
      <c r="F40" s="13" t="s">
        <v>565</v>
      </c>
      <c r="G40" s="5" t="s">
        <v>163</v>
      </c>
      <c r="H40" s="5" t="s">
        <v>30</v>
      </c>
    </row>
    <row r="41" spans="2:8" ht="45">
      <c r="B41" s="157" t="s">
        <v>597</v>
      </c>
      <c r="C41" s="163"/>
      <c r="D41" s="22" t="s">
        <v>413</v>
      </c>
      <c r="E41" s="4">
        <v>475250</v>
      </c>
      <c r="F41" s="13" t="s">
        <v>624</v>
      </c>
      <c r="G41" s="5" t="s">
        <v>163</v>
      </c>
      <c r="H41" s="5" t="s">
        <v>30</v>
      </c>
    </row>
    <row r="42" spans="2:8" ht="45">
      <c r="B42" s="158"/>
      <c r="C42" s="163"/>
      <c r="D42" s="12" t="s">
        <v>625</v>
      </c>
      <c r="E42" s="4">
        <v>137500</v>
      </c>
      <c r="F42" s="13" t="s">
        <v>626</v>
      </c>
      <c r="G42" s="5" t="s">
        <v>163</v>
      </c>
      <c r="H42" s="5" t="s">
        <v>185</v>
      </c>
    </row>
    <row r="43" spans="2:8" ht="45">
      <c r="B43" s="159"/>
      <c r="C43" s="163"/>
      <c r="D43" s="12" t="s">
        <v>627</v>
      </c>
      <c r="E43" s="4">
        <v>93500</v>
      </c>
      <c r="F43" s="13" t="s">
        <v>628</v>
      </c>
      <c r="G43" s="5" t="s">
        <v>163</v>
      </c>
      <c r="H43" s="5" t="s">
        <v>185</v>
      </c>
    </row>
    <row r="44" spans="2:8">
      <c r="B44" s="21" t="s">
        <v>650</v>
      </c>
      <c r="C44" s="163"/>
      <c r="D44" s="26" t="s">
        <v>32</v>
      </c>
      <c r="E44" s="4">
        <v>0</v>
      </c>
      <c r="F44" s="26" t="s">
        <v>32</v>
      </c>
      <c r="G44" s="4" t="s">
        <v>32</v>
      </c>
      <c r="H44" s="4" t="s">
        <v>32</v>
      </c>
    </row>
    <row r="45" spans="2:8">
      <c r="B45" s="21" t="s">
        <v>770</v>
      </c>
      <c r="C45" s="163"/>
      <c r="D45" s="28" t="s">
        <v>32</v>
      </c>
      <c r="E45" s="4">
        <v>0</v>
      </c>
      <c r="F45" s="26" t="s">
        <v>32</v>
      </c>
      <c r="G45" s="4" t="s">
        <v>32</v>
      </c>
      <c r="H45" s="4" t="s">
        <v>32</v>
      </c>
    </row>
    <row r="46" spans="2:8">
      <c r="B46" s="58"/>
      <c r="C46" s="163"/>
      <c r="D46" s="12"/>
      <c r="E46" s="4"/>
      <c r="F46" s="13"/>
      <c r="G46" s="5"/>
      <c r="H46" s="5"/>
    </row>
    <row r="47" spans="2:8">
      <c r="B47" s="42"/>
      <c r="C47" s="163"/>
      <c r="D47" s="28"/>
      <c r="E47" s="4"/>
      <c r="F47" s="26"/>
      <c r="G47" s="4"/>
      <c r="H47" s="4"/>
    </row>
    <row r="48" spans="2:8" ht="15.75" customHeight="1">
      <c r="B48" s="160" t="s">
        <v>33</v>
      </c>
      <c r="C48" s="161"/>
      <c r="D48" s="12"/>
      <c r="E48" s="5">
        <f>SUM(E32:E47)</f>
        <v>2045500</v>
      </c>
      <c r="F48" s="13"/>
      <c r="G48" s="4"/>
      <c r="H48" s="5"/>
    </row>
    <row r="49" spans="2:8" ht="45" customHeight="1">
      <c r="B49" s="157" t="s">
        <v>43</v>
      </c>
      <c r="C49" s="162" t="s">
        <v>23</v>
      </c>
      <c r="D49" s="13" t="s">
        <v>37</v>
      </c>
      <c r="E49" s="4">
        <v>26265</v>
      </c>
      <c r="F49" s="13" t="s">
        <v>51</v>
      </c>
      <c r="G49" s="5" t="s">
        <v>115</v>
      </c>
      <c r="H49" s="5" t="s">
        <v>30</v>
      </c>
    </row>
    <row r="50" spans="2:8" ht="60">
      <c r="B50" s="158"/>
      <c r="C50" s="163"/>
      <c r="D50" s="13" t="s">
        <v>36</v>
      </c>
      <c r="E50" s="4">
        <v>133920</v>
      </c>
      <c r="F50" s="13" t="s">
        <v>52</v>
      </c>
      <c r="G50" s="5" t="s">
        <v>116</v>
      </c>
      <c r="H50" s="5" t="s">
        <v>30</v>
      </c>
    </row>
    <row r="51" spans="2:8" ht="60">
      <c r="B51" s="159"/>
      <c r="C51" s="163"/>
      <c r="D51" s="13" t="s">
        <v>42</v>
      </c>
      <c r="E51" s="4">
        <v>51102</v>
      </c>
      <c r="F51" s="13" t="s">
        <v>53</v>
      </c>
      <c r="G51" s="5" t="s">
        <v>117</v>
      </c>
      <c r="H51" s="5" t="s">
        <v>30</v>
      </c>
    </row>
    <row r="52" spans="2:8" ht="45">
      <c r="B52" s="157" t="s">
        <v>74</v>
      </c>
      <c r="C52" s="163"/>
      <c r="D52" s="13" t="s">
        <v>120</v>
      </c>
      <c r="E52" s="4">
        <v>70725</v>
      </c>
      <c r="F52" s="13" t="s">
        <v>121</v>
      </c>
      <c r="G52" s="5" t="s">
        <v>122</v>
      </c>
      <c r="H52" s="5" t="s">
        <v>30</v>
      </c>
    </row>
    <row r="53" spans="2:8" ht="45">
      <c r="B53" s="158"/>
      <c r="C53" s="163"/>
      <c r="D53" s="13" t="s">
        <v>123</v>
      </c>
      <c r="E53" s="4">
        <v>55417</v>
      </c>
      <c r="F53" s="13" t="s">
        <v>124</v>
      </c>
      <c r="G53" s="5" t="s">
        <v>125</v>
      </c>
      <c r="H53" s="5" t="s">
        <v>126</v>
      </c>
    </row>
    <row r="54" spans="2:8" ht="45">
      <c r="B54" s="159"/>
      <c r="C54" s="163"/>
      <c r="D54" s="13" t="s">
        <v>127</v>
      </c>
      <c r="E54" s="43">
        <v>152947</v>
      </c>
      <c r="F54" s="13" t="s">
        <v>128</v>
      </c>
      <c r="G54" s="5" t="s">
        <v>163</v>
      </c>
      <c r="H54" s="5" t="s">
        <v>30</v>
      </c>
    </row>
    <row r="55" spans="2:8" ht="45">
      <c r="B55" s="157" t="s">
        <v>160</v>
      </c>
      <c r="C55" s="163"/>
      <c r="D55" s="13" t="s">
        <v>269</v>
      </c>
      <c r="E55" s="4">
        <v>125240</v>
      </c>
      <c r="F55" s="13" t="s">
        <v>270</v>
      </c>
      <c r="G55" s="5" t="s">
        <v>163</v>
      </c>
      <c r="H55" s="5" t="s">
        <v>30</v>
      </c>
    </row>
    <row r="56" spans="2:8" ht="45">
      <c r="B56" s="158"/>
      <c r="C56" s="163"/>
      <c r="D56" s="13" t="s">
        <v>271</v>
      </c>
      <c r="E56" s="4">
        <v>42964</v>
      </c>
      <c r="F56" s="13" t="s">
        <v>272</v>
      </c>
      <c r="G56" s="5" t="s">
        <v>163</v>
      </c>
      <c r="H56" s="5" t="s">
        <v>30</v>
      </c>
    </row>
    <row r="57" spans="2:8" ht="45">
      <c r="B57" s="158"/>
      <c r="C57" s="163"/>
      <c r="D57" s="13" t="s">
        <v>273</v>
      </c>
      <c r="E57" s="4">
        <v>31406</v>
      </c>
      <c r="F57" s="13" t="s">
        <v>274</v>
      </c>
      <c r="G57" s="5" t="s">
        <v>163</v>
      </c>
      <c r="H57" s="5" t="s">
        <v>30</v>
      </c>
    </row>
    <row r="58" spans="2:8" ht="45">
      <c r="B58" s="158"/>
      <c r="C58" s="163"/>
      <c r="D58" s="12" t="s">
        <v>275</v>
      </c>
      <c r="E58" s="4">
        <v>52375</v>
      </c>
      <c r="F58" s="13" t="s">
        <v>276</v>
      </c>
      <c r="G58" s="5" t="s">
        <v>277</v>
      </c>
      <c r="H58" s="5" t="s">
        <v>278</v>
      </c>
    </row>
    <row r="59" spans="2:8" ht="45">
      <c r="B59" s="159"/>
      <c r="C59" s="163"/>
      <c r="D59" s="13" t="s">
        <v>279</v>
      </c>
      <c r="E59" s="4">
        <v>25</v>
      </c>
      <c r="F59" s="13" t="s">
        <v>280</v>
      </c>
      <c r="G59" s="5" t="s">
        <v>163</v>
      </c>
      <c r="H59" s="5" t="s">
        <v>30</v>
      </c>
    </row>
    <row r="60" spans="2:8" ht="45">
      <c r="B60" s="157" t="s">
        <v>308</v>
      </c>
      <c r="C60" s="163"/>
      <c r="D60" s="13" t="s">
        <v>342</v>
      </c>
      <c r="E60" s="4">
        <v>26392</v>
      </c>
      <c r="F60" s="13" t="s">
        <v>343</v>
      </c>
      <c r="G60" s="5" t="s">
        <v>163</v>
      </c>
      <c r="H60" s="5" t="s">
        <v>30</v>
      </c>
    </row>
    <row r="61" spans="2:8" ht="45">
      <c r="B61" s="158"/>
      <c r="C61" s="163"/>
      <c r="D61" s="13" t="s">
        <v>344</v>
      </c>
      <c r="E61" s="4">
        <v>51102</v>
      </c>
      <c r="F61" s="13" t="s">
        <v>345</v>
      </c>
      <c r="G61" s="5" t="s">
        <v>163</v>
      </c>
      <c r="H61" s="5" t="s">
        <v>30</v>
      </c>
    </row>
    <row r="62" spans="2:8" ht="45">
      <c r="B62" s="159"/>
      <c r="C62" s="163"/>
      <c r="D62" s="13" t="s">
        <v>279</v>
      </c>
      <c r="E62" s="4">
        <v>25</v>
      </c>
      <c r="F62" s="13" t="s">
        <v>346</v>
      </c>
      <c r="G62" s="5" t="s">
        <v>163</v>
      </c>
      <c r="H62" s="5" t="s">
        <v>30</v>
      </c>
    </row>
    <row r="63" spans="2:8" ht="45">
      <c r="B63" s="58" t="s">
        <v>373</v>
      </c>
      <c r="C63" s="163"/>
      <c r="D63" s="105" t="s">
        <v>416</v>
      </c>
      <c r="E63" s="4">
        <v>70375</v>
      </c>
      <c r="F63" s="13" t="s">
        <v>417</v>
      </c>
      <c r="G63" s="5" t="s">
        <v>163</v>
      </c>
      <c r="H63" s="5" t="s">
        <v>30</v>
      </c>
    </row>
    <row r="64" spans="2:8" ht="45">
      <c r="B64" s="42"/>
      <c r="C64" s="163"/>
      <c r="D64" s="13" t="s">
        <v>127</v>
      </c>
      <c r="E64" s="4">
        <v>152947</v>
      </c>
      <c r="F64" s="13" t="s">
        <v>418</v>
      </c>
      <c r="G64" s="5" t="s">
        <v>163</v>
      </c>
      <c r="H64" s="5" t="s">
        <v>30</v>
      </c>
    </row>
    <row r="65" spans="2:8" ht="45">
      <c r="B65" s="157" t="s">
        <v>438</v>
      </c>
      <c r="C65" s="163"/>
      <c r="D65" s="13" t="s">
        <v>273</v>
      </c>
      <c r="E65" s="4">
        <v>31250</v>
      </c>
      <c r="F65" s="13" t="s">
        <v>450</v>
      </c>
      <c r="G65" s="5" t="s">
        <v>163</v>
      </c>
      <c r="H65" s="5" t="s">
        <v>30</v>
      </c>
    </row>
    <row r="66" spans="2:8" ht="45">
      <c r="B66" s="159"/>
      <c r="C66" s="163"/>
      <c r="D66" s="13" t="s">
        <v>271</v>
      </c>
      <c r="E66" s="4">
        <v>42750</v>
      </c>
      <c r="F66" s="13" t="s">
        <v>451</v>
      </c>
      <c r="G66" s="5" t="s">
        <v>163</v>
      </c>
      <c r="H66" s="5" t="s">
        <v>30</v>
      </c>
    </row>
    <row r="67" spans="2:8" ht="45">
      <c r="B67" s="157" t="s">
        <v>540</v>
      </c>
      <c r="C67" s="163"/>
      <c r="D67" s="13" t="s">
        <v>279</v>
      </c>
      <c r="E67" s="4">
        <v>25</v>
      </c>
      <c r="F67" s="13" t="s">
        <v>566</v>
      </c>
      <c r="G67" s="5" t="s">
        <v>163</v>
      </c>
      <c r="H67" s="5" t="s">
        <v>30</v>
      </c>
    </row>
    <row r="68" spans="2:8" ht="30">
      <c r="B68" s="158"/>
      <c r="C68" s="163"/>
      <c r="D68" s="13" t="s">
        <v>567</v>
      </c>
      <c r="E68" s="4">
        <v>849646</v>
      </c>
      <c r="F68" s="13" t="s">
        <v>568</v>
      </c>
      <c r="G68" s="5" t="s">
        <v>569</v>
      </c>
      <c r="H68" s="5" t="s">
        <v>502</v>
      </c>
    </row>
    <row r="69" spans="2:8" ht="45">
      <c r="B69" s="158"/>
      <c r="C69" s="163"/>
      <c r="D69" s="13" t="s">
        <v>344</v>
      </c>
      <c r="E69" s="4">
        <v>51869</v>
      </c>
      <c r="F69" s="13" t="s">
        <v>570</v>
      </c>
      <c r="G69" s="5" t="s">
        <v>163</v>
      </c>
      <c r="H69" s="5" t="s">
        <v>30</v>
      </c>
    </row>
    <row r="70" spans="2:8" ht="45">
      <c r="B70" s="158"/>
      <c r="C70" s="163"/>
      <c r="D70" s="13" t="s">
        <v>342</v>
      </c>
      <c r="E70" s="4">
        <v>26393</v>
      </c>
      <c r="F70" s="13" t="s">
        <v>571</v>
      </c>
      <c r="G70" s="5" t="s">
        <v>163</v>
      </c>
      <c r="H70" s="5" t="s">
        <v>30</v>
      </c>
    </row>
    <row r="71" spans="2:8" ht="45">
      <c r="B71" s="159"/>
      <c r="C71" s="163"/>
      <c r="D71" s="13" t="s">
        <v>572</v>
      </c>
      <c r="E71" s="4">
        <v>7003</v>
      </c>
      <c r="F71" s="13" t="s">
        <v>573</v>
      </c>
      <c r="G71" s="5" t="s">
        <v>163</v>
      </c>
      <c r="H71" s="5" t="s">
        <v>30</v>
      </c>
    </row>
    <row r="72" spans="2:8" ht="45">
      <c r="B72" s="165" t="s">
        <v>597</v>
      </c>
      <c r="C72" s="163"/>
      <c r="D72" s="12" t="s">
        <v>120</v>
      </c>
      <c r="E72" s="4">
        <v>78183</v>
      </c>
      <c r="F72" s="13" t="s">
        <v>629</v>
      </c>
      <c r="G72" s="5" t="s">
        <v>163</v>
      </c>
      <c r="H72" s="5" t="s">
        <v>30</v>
      </c>
    </row>
    <row r="73" spans="2:8" ht="45">
      <c r="B73" s="165"/>
      <c r="C73" s="163"/>
      <c r="D73" s="13" t="s">
        <v>127</v>
      </c>
      <c r="E73" s="4">
        <v>152946</v>
      </c>
      <c r="F73" s="13" t="s">
        <v>630</v>
      </c>
      <c r="G73" s="5" t="s">
        <v>163</v>
      </c>
      <c r="H73" s="5" t="s">
        <v>30</v>
      </c>
    </row>
    <row r="74" spans="2:8" ht="45">
      <c r="B74" s="157" t="s">
        <v>650</v>
      </c>
      <c r="C74" s="163"/>
      <c r="D74" s="13" t="s">
        <v>269</v>
      </c>
      <c r="E74" s="4">
        <v>125240</v>
      </c>
      <c r="F74" s="13" t="s">
        <v>745</v>
      </c>
      <c r="G74" s="5" t="s">
        <v>163</v>
      </c>
      <c r="H74" s="5" t="s">
        <v>30</v>
      </c>
    </row>
    <row r="75" spans="2:8" ht="45">
      <c r="B75" s="158"/>
      <c r="C75" s="163"/>
      <c r="D75" s="13" t="s">
        <v>271</v>
      </c>
      <c r="E75" s="4">
        <v>46918</v>
      </c>
      <c r="F75" s="13" t="s">
        <v>746</v>
      </c>
      <c r="G75" s="5" t="s">
        <v>163</v>
      </c>
      <c r="H75" s="5" t="s">
        <v>30</v>
      </c>
    </row>
    <row r="76" spans="2:8" ht="45">
      <c r="B76" s="158"/>
      <c r="C76" s="163"/>
      <c r="D76" s="13" t="s">
        <v>273</v>
      </c>
      <c r="E76" s="4">
        <v>33516</v>
      </c>
      <c r="F76" s="13" t="s">
        <v>747</v>
      </c>
      <c r="G76" s="5" t="s">
        <v>163</v>
      </c>
      <c r="H76" s="5" t="s">
        <v>30</v>
      </c>
    </row>
    <row r="77" spans="2:8" ht="45">
      <c r="B77" s="159"/>
      <c r="C77" s="163"/>
      <c r="D77" s="13" t="s">
        <v>748</v>
      </c>
      <c r="E77" s="4">
        <v>57384</v>
      </c>
      <c r="F77" s="13" t="s">
        <v>749</v>
      </c>
      <c r="G77" s="5" t="s">
        <v>163</v>
      </c>
      <c r="H77" s="5" t="s">
        <v>185</v>
      </c>
    </row>
    <row r="78" spans="2:8" ht="45">
      <c r="B78" s="157" t="s">
        <v>770</v>
      </c>
      <c r="C78" s="163"/>
      <c r="D78" s="13" t="s">
        <v>771</v>
      </c>
      <c r="E78" s="4">
        <v>51613</v>
      </c>
      <c r="F78" s="13" t="s">
        <v>772</v>
      </c>
      <c r="G78" s="5" t="s">
        <v>163</v>
      </c>
      <c r="H78" s="5" t="s">
        <v>30</v>
      </c>
    </row>
    <row r="79" spans="2:8" ht="45">
      <c r="B79" s="158"/>
      <c r="C79" s="163"/>
      <c r="D79" s="13" t="s">
        <v>342</v>
      </c>
      <c r="E79" s="4">
        <v>25500</v>
      </c>
      <c r="F79" s="13" t="s">
        <v>773</v>
      </c>
      <c r="G79" s="5" t="s">
        <v>163</v>
      </c>
      <c r="H79" s="5" t="s">
        <v>30</v>
      </c>
    </row>
    <row r="80" spans="2:8" ht="45">
      <c r="B80" s="159"/>
      <c r="C80" s="163"/>
      <c r="D80" s="13" t="s">
        <v>279</v>
      </c>
      <c r="E80" s="4">
        <v>25</v>
      </c>
      <c r="F80" s="13" t="s">
        <v>774</v>
      </c>
      <c r="G80" s="5" t="s">
        <v>163</v>
      </c>
      <c r="H80" s="5" t="s">
        <v>30</v>
      </c>
    </row>
    <row r="81" spans="2:8">
      <c r="B81" s="60"/>
      <c r="C81" s="164"/>
      <c r="E81" s="4"/>
      <c r="F81" s="13"/>
      <c r="G81" s="5"/>
      <c r="H81" s="5"/>
    </row>
    <row r="82" spans="2:8">
      <c r="B82" s="160" t="s">
        <v>33</v>
      </c>
      <c r="C82" s="161"/>
      <c r="D82" s="10"/>
      <c r="E82" s="14">
        <f>SUM(E49:E81)</f>
        <v>2623488</v>
      </c>
      <c r="F82" s="10"/>
      <c r="G82" s="10"/>
      <c r="H82" s="10"/>
    </row>
    <row r="83" spans="2:8">
      <c r="B83" s="62" t="s">
        <v>43</v>
      </c>
      <c r="C83" s="162" t="s">
        <v>24</v>
      </c>
      <c r="D83" s="4" t="s">
        <v>32</v>
      </c>
      <c r="E83" s="4">
        <v>0</v>
      </c>
      <c r="F83" s="4" t="s">
        <v>32</v>
      </c>
      <c r="G83" s="4" t="s">
        <v>32</v>
      </c>
      <c r="H83" s="4" t="s">
        <v>32</v>
      </c>
    </row>
    <row r="84" spans="2:8">
      <c r="B84" s="21" t="s">
        <v>74</v>
      </c>
      <c r="C84" s="163"/>
      <c r="D84" s="4" t="s">
        <v>32</v>
      </c>
      <c r="E84" s="4">
        <v>0</v>
      </c>
      <c r="F84" s="4" t="s">
        <v>32</v>
      </c>
      <c r="G84" s="4" t="s">
        <v>32</v>
      </c>
      <c r="H84" s="4" t="s">
        <v>32</v>
      </c>
    </row>
    <row r="85" spans="2:8" ht="15.75" customHeight="1">
      <c r="B85" s="21" t="s">
        <v>160</v>
      </c>
      <c r="C85" s="163"/>
      <c r="D85" s="4" t="s">
        <v>32</v>
      </c>
      <c r="E85" s="4">
        <v>0</v>
      </c>
      <c r="F85" s="4" t="s">
        <v>32</v>
      </c>
      <c r="G85" s="4" t="s">
        <v>32</v>
      </c>
      <c r="H85" s="4" t="s">
        <v>32</v>
      </c>
    </row>
    <row r="86" spans="2:8" ht="25.5" customHeight="1">
      <c r="B86" s="21" t="s">
        <v>308</v>
      </c>
      <c r="C86" s="163"/>
      <c r="D86" s="4" t="s">
        <v>32</v>
      </c>
      <c r="E86" s="4">
        <v>0</v>
      </c>
      <c r="F86" s="4" t="s">
        <v>32</v>
      </c>
      <c r="G86" s="4" t="s">
        <v>32</v>
      </c>
      <c r="H86" s="4" t="s">
        <v>32</v>
      </c>
    </row>
    <row r="87" spans="2:8" ht="24.75" customHeight="1">
      <c r="B87" s="21" t="s">
        <v>373</v>
      </c>
      <c r="C87" s="163"/>
      <c r="D87" s="4" t="s">
        <v>32</v>
      </c>
      <c r="E87" s="4">
        <v>0</v>
      </c>
      <c r="F87" s="4" t="s">
        <v>32</v>
      </c>
      <c r="G87" s="4" t="s">
        <v>32</v>
      </c>
      <c r="H87" s="4" t="s">
        <v>32</v>
      </c>
    </row>
    <row r="88" spans="2:8" ht="24.75" customHeight="1">
      <c r="B88" s="21" t="s">
        <v>438</v>
      </c>
      <c r="C88" s="163"/>
      <c r="D88" s="4" t="s">
        <v>32</v>
      </c>
      <c r="E88" s="4">
        <v>0</v>
      </c>
      <c r="F88" s="4" t="s">
        <v>32</v>
      </c>
      <c r="G88" s="4" t="s">
        <v>32</v>
      </c>
      <c r="H88" s="4" t="s">
        <v>32</v>
      </c>
    </row>
    <row r="89" spans="2:8" ht="30">
      <c r="B89" s="21" t="s">
        <v>540</v>
      </c>
      <c r="C89" s="163"/>
      <c r="D89" s="16" t="s">
        <v>574</v>
      </c>
      <c r="E89" s="4">
        <v>114950</v>
      </c>
      <c r="F89" s="13" t="s">
        <v>575</v>
      </c>
      <c r="G89" s="5" t="s">
        <v>569</v>
      </c>
      <c r="H89" s="5" t="s">
        <v>502</v>
      </c>
    </row>
    <row r="90" spans="2:8" ht="15.75" customHeight="1">
      <c r="B90" s="21" t="s">
        <v>597</v>
      </c>
      <c r="C90" s="163"/>
      <c r="D90" s="4" t="s">
        <v>32</v>
      </c>
      <c r="E90" s="4">
        <v>0</v>
      </c>
      <c r="F90" s="4" t="s">
        <v>32</v>
      </c>
      <c r="G90" s="4" t="s">
        <v>32</v>
      </c>
      <c r="H90" s="4" t="s">
        <v>32</v>
      </c>
    </row>
    <row r="91" spans="2:8">
      <c r="B91" s="21" t="s">
        <v>650</v>
      </c>
      <c r="C91" s="163"/>
      <c r="D91" s="4" t="s">
        <v>32</v>
      </c>
      <c r="E91" s="4">
        <v>0</v>
      </c>
      <c r="F91" s="26" t="s">
        <v>32</v>
      </c>
      <c r="G91" s="4" t="s">
        <v>32</v>
      </c>
      <c r="H91" s="4" t="s">
        <v>32</v>
      </c>
    </row>
    <row r="92" spans="2:8">
      <c r="B92" s="21" t="s">
        <v>770</v>
      </c>
      <c r="C92" s="163"/>
      <c r="D92" s="4" t="s">
        <v>32</v>
      </c>
      <c r="E92" s="4">
        <v>0</v>
      </c>
      <c r="F92" s="26" t="s">
        <v>32</v>
      </c>
      <c r="G92" s="4" t="s">
        <v>32</v>
      </c>
      <c r="H92" s="4" t="s">
        <v>32</v>
      </c>
    </row>
    <row r="93" spans="2:8">
      <c r="B93" s="42"/>
      <c r="C93" s="163"/>
      <c r="D93" s="4"/>
      <c r="E93" s="4"/>
      <c r="F93" s="26"/>
      <c r="G93" s="4"/>
      <c r="H93" s="4"/>
    </row>
    <row r="94" spans="2:8">
      <c r="B94" s="60"/>
      <c r="C94" s="163"/>
      <c r="D94" s="4"/>
      <c r="E94" s="4"/>
      <c r="F94" s="13"/>
      <c r="G94" s="4"/>
      <c r="H94" s="4"/>
    </row>
    <row r="95" spans="2:8" ht="15.75" customHeight="1">
      <c r="B95" s="166" t="s">
        <v>33</v>
      </c>
      <c r="C95" s="167"/>
      <c r="D95" s="16"/>
      <c r="E95" s="5">
        <f>SUM(E83:E94)</f>
        <v>114950</v>
      </c>
      <c r="F95" s="13"/>
      <c r="G95" s="4"/>
      <c r="H95" s="4"/>
    </row>
    <row r="96" spans="2:8" ht="15" customHeight="1">
      <c r="B96" s="160" t="s">
        <v>34</v>
      </c>
      <c r="C96" s="161"/>
      <c r="D96" s="10"/>
      <c r="E96" s="37">
        <f>(E17+E31+E48+E82+E95)</f>
        <v>6266698</v>
      </c>
      <c r="F96" s="10"/>
      <c r="G96" s="10"/>
      <c r="H96" s="10"/>
    </row>
  </sheetData>
  <mergeCells count="30">
    <mergeCell ref="H3:H4"/>
    <mergeCell ref="B3:B4"/>
    <mergeCell ref="C3:C4"/>
    <mergeCell ref="D3:D4"/>
    <mergeCell ref="E3:E4"/>
    <mergeCell ref="F3:F4"/>
    <mergeCell ref="B17:C17"/>
    <mergeCell ref="G3:G4"/>
    <mergeCell ref="B31:C31"/>
    <mergeCell ref="C5:C16"/>
    <mergeCell ref="C18:C30"/>
    <mergeCell ref="C32:C47"/>
    <mergeCell ref="C83:C94"/>
    <mergeCell ref="B48:C48"/>
    <mergeCell ref="B32:B33"/>
    <mergeCell ref="B49:B51"/>
    <mergeCell ref="B52:B54"/>
    <mergeCell ref="B37:B38"/>
    <mergeCell ref="B67:B71"/>
    <mergeCell ref="B41:B43"/>
    <mergeCell ref="B74:B77"/>
    <mergeCell ref="B96:C96"/>
    <mergeCell ref="B95:C95"/>
    <mergeCell ref="B82:C82"/>
    <mergeCell ref="C49:C81"/>
    <mergeCell ref="B55:B59"/>
    <mergeCell ref="B60:B62"/>
    <mergeCell ref="B65:B66"/>
    <mergeCell ref="B72:B73"/>
    <mergeCell ref="B78:B80"/>
  </mergeCells>
  <pageMargins left="0.7" right="0.7" top="0.75" bottom="0.75" header="0.3" footer="0.3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170"/>
  <sheetViews>
    <sheetView zoomScaleSheetLayoutView="90" workbookViewId="0">
      <selection activeCell="E148" sqref="E148"/>
    </sheetView>
  </sheetViews>
  <sheetFormatPr defaultRowHeight="15"/>
  <cols>
    <col min="1" max="1" width="9.140625" style="1"/>
    <col min="2" max="2" width="11.28515625" style="1" customWidth="1"/>
    <col min="3" max="3" width="13.5703125" style="1" customWidth="1"/>
    <col min="4" max="4" width="26" style="1" customWidth="1"/>
    <col min="5" max="5" width="19.85546875" style="1" customWidth="1"/>
    <col min="6" max="6" width="17.5703125" style="1" customWidth="1"/>
    <col min="7" max="7" width="13.5703125" style="1" customWidth="1"/>
    <col min="8" max="8" width="12" style="1" customWidth="1"/>
    <col min="9" max="16384" width="9.140625" style="1"/>
  </cols>
  <sheetData>
    <row r="1" spans="2:8" ht="15.75">
      <c r="B1" s="3" t="s">
        <v>5</v>
      </c>
    </row>
    <row r="2" spans="2:8" ht="15.75">
      <c r="B2" s="3" t="s">
        <v>2</v>
      </c>
    </row>
    <row r="3" spans="2:8" ht="15" customHeight="1">
      <c r="B3" s="172" t="s">
        <v>14</v>
      </c>
      <c r="C3" s="171" t="s">
        <v>8</v>
      </c>
      <c r="D3" s="172" t="s">
        <v>0</v>
      </c>
      <c r="E3" s="171" t="s">
        <v>28</v>
      </c>
      <c r="F3" s="172" t="s">
        <v>26</v>
      </c>
      <c r="G3" s="173" t="s">
        <v>27</v>
      </c>
      <c r="H3" s="170" t="s">
        <v>1</v>
      </c>
    </row>
    <row r="4" spans="2:8">
      <c r="B4" s="172"/>
      <c r="C4" s="171"/>
      <c r="D4" s="172"/>
      <c r="E4" s="171"/>
      <c r="F4" s="172"/>
      <c r="G4" s="173"/>
      <c r="H4" s="170"/>
    </row>
    <row r="5" spans="2:8" ht="45" customHeight="1">
      <c r="B5" s="165" t="s">
        <v>43</v>
      </c>
      <c r="C5" s="162" t="s">
        <v>17</v>
      </c>
      <c r="D5" s="12" t="s">
        <v>94</v>
      </c>
      <c r="E5" s="4">
        <v>50500</v>
      </c>
      <c r="F5" s="13" t="s">
        <v>98</v>
      </c>
      <c r="G5" s="5" t="s">
        <v>163</v>
      </c>
      <c r="H5" s="5" t="s">
        <v>29</v>
      </c>
    </row>
    <row r="6" spans="2:8" ht="45">
      <c r="B6" s="165"/>
      <c r="C6" s="163"/>
      <c r="D6" s="12" t="s">
        <v>95</v>
      </c>
      <c r="E6" s="4">
        <v>227250</v>
      </c>
      <c r="F6" s="13" t="s">
        <v>69</v>
      </c>
      <c r="G6" s="5" t="s">
        <v>163</v>
      </c>
      <c r="H6" s="5" t="s">
        <v>29</v>
      </c>
    </row>
    <row r="7" spans="2:8" ht="45">
      <c r="B7" s="157" t="s">
        <v>74</v>
      </c>
      <c r="C7" s="163"/>
      <c r="D7" s="12" t="s">
        <v>96</v>
      </c>
      <c r="E7" s="4">
        <v>13750</v>
      </c>
      <c r="F7" s="13" t="s">
        <v>97</v>
      </c>
      <c r="G7" s="5" t="s">
        <v>163</v>
      </c>
      <c r="H7" s="5" t="s">
        <v>29</v>
      </c>
    </row>
    <row r="8" spans="2:8" ht="45">
      <c r="B8" s="158"/>
      <c r="C8" s="163"/>
      <c r="D8" s="12" t="s">
        <v>99</v>
      </c>
      <c r="E8" s="4">
        <v>60000</v>
      </c>
      <c r="F8" s="13" t="s">
        <v>100</v>
      </c>
      <c r="G8" s="5" t="s">
        <v>163</v>
      </c>
      <c r="H8" s="5" t="s">
        <v>29</v>
      </c>
    </row>
    <row r="9" spans="2:8" ht="45">
      <c r="B9" s="158"/>
      <c r="C9" s="163"/>
      <c r="D9" s="12" t="s">
        <v>101</v>
      </c>
      <c r="E9" s="4">
        <v>87500</v>
      </c>
      <c r="F9" s="13" t="s">
        <v>102</v>
      </c>
      <c r="G9" s="5" t="s">
        <v>163</v>
      </c>
      <c r="H9" s="5" t="s">
        <v>29</v>
      </c>
    </row>
    <row r="10" spans="2:8" ht="45">
      <c r="B10" s="158"/>
      <c r="C10" s="163"/>
      <c r="D10" s="12" t="s">
        <v>103</v>
      </c>
      <c r="E10" s="4">
        <v>162500</v>
      </c>
      <c r="F10" s="13" t="s">
        <v>104</v>
      </c>
      <c r="G10" s="5" t="s">
        <v>163</v>
      </c>
      <c r="H10" s="5" t="s">
        <v>29</v>
      </c>
    </row>
    <row r="11" spans="2:8" ht="45">
      <c r="B11" s="158"/>
      <c r="C11" s="163"/>
      <c r="D11" s="12" t="s">
        <v>105</v>
      </c>
      <c r="E11" s="4">
        <v>47500</v>
      </c>
      <c r="F11" s="13" t="s">
        <v>106</v>
      </c>
      <c r="G11" s="5" t="s">
        <v>163</v>
      </c>
      <c r="H11" s="5" t="s">
        <v>29</v>
      </c>
    </row>
    <row r="12" spans="2:8" ht="45">
      <c r="B12" s="158"/>
      <c r="C12" s="163"/>
      <c r="D12" s="12" t="s">
        <v>107</v>
      </c>
      <c r="E12" s="4">
        <v>143750</v>
      </c>
      <c r="F12" s="13" t="s">
        <v>108</v>
      </c>
      <c r="G12" s="5" t="s">
        <v>163</v>
      </c>
      <c r="H12" s="5" t="s">
        <v>29</v>
      </c>
    </row>
    <row r="13" spans="2:8" ht="45">
      <c r="B13" s="158"/>
      <c r="C13" s="163"/>
      <c r="D13" s="12" t="s">
        <v>109</v>
      </c>
      <c r="E13" s="4">
        <v>45000</v>
      </c>
      <c r="F13" s="13" t="s">
        <v>110</v>
      </c>
      <c r="G13" s="5" t="s">
        <v>163</v>
      </c>
      <c r="H13" s="5" t="s">
        <v>29</v>
      </c>
    </row>
    <row r="14" spans="2:8" ht="45">
      <c r="B14" s="159"/>
      <c r="C14" s="163"/>
      <c r="D14" s="19" t="s">
        <v>111</v>
      </c>
      <c r="E14" s="4">
        <v>122513</v>
      </c>
      <c r="F14" s="13" t="s">
        <v>112</v>
      </c>
      <c r="G14" s="5" t="s">
        <v>163</v>
      </c>
      <c r="H14" s="5" t="s">
        <v>29</v>
      </c>
    </row>
    <row r="15" spans="2:8" ht="45">
      <c r="B15" s="157" t="s">
        <v>160</v>
      </c>
      <c r="C15" s="163"/>
      <c r="D15" s="13" t="s">
        <v>214</v>
      </c>
      <c r="E15" s="4">
        <v>50000</v>
      </c>
      <c r="F15" s="13" t="s">
        <v>213</v>
      </c>
      <c r="G15" s="5" t="s">
        <v>163</v>
      </c>
      <c r="H15" s="5" t="s">
        <v>29</v>
      </c>
    </row>
    <row r="16" spans="2:8" ht="45">
      <c r="B16" s="158"/>
      <c r="C16" s="163"/>
      <c r="D16" s="13" t="s">
        <v>215</v>
      </c>
      <c r="E16" s="4">
        <v>17839</v>
      </c>
      <c r="F16" s="13" t="s">
        <v>216</v>
      </c>
      <c r="G16" s="5" t="s">
        <v>163</v>
      </c>
      <c r="H16" s="5" t="s">
        <v>29</v>
      </c>
    </row>
    <row r="17" spans="2:8" ht="45">
      <c r="B17" s="158"/>
      <c r="C17" s="163"/>
      <c r="D17" s="13" t="s">
        <v>217</v>
      </c>
      <c r="E17" s="4">
        <v>7538</v>
      </c>
      <c r="F17" s="13" t="s">
        <v>218</v>
      </c>
      <c r="G17" s="5" t="s">
        <v>163</v>
      </c>
      <c r="H17" s="5" t="s">
        <v>29</v>
      </c>
    </row>
    <row r="18" spans="2:8" ht="45">
      <c r="B18" s="158"/>
      <c r="C18" s="163"/>
      <c r="D18" s="13" t="s">
        <v>219</v>
      </c>
      <c r="E18" s="4">
        <v>31407</v>
      </c>
      <c r="F18" s="13" t="s">
        <v>220</v>
      </c>
      <c r="G18" s="5" t="s">
        <v>163</v>
      </c>
      <c r="H18" s="5" t="s">
        <v>29</v>
      </c>
    </row>
    <row r="19" spans="2:8" ht="45">
      <c r="B19" s="158"/>
      <c r="C19" s="163"/>
      <c r="D19" s="13" t="s">
        <v>221</v>
      </c>
      <c r="E19" s="4">
        <v>7136</v>
      </c>
      <c r="F19" s="13" t="s">
        <v>222</v>
      </c>
      <c r="G19" s="5" t="s">
        <v>163</v>
      </c>
      <c r="H19" s="5" t="s">
        <v>29</v>
      </c>
    </row>
    <row r="20" spans="2:8" ht="45">
      <c r="B20" s="158"/>
      <c r="C20" s="163"/>
      <c r="D20" s="13" t="s">
        <v>223</v>
      </c>
      <c r="E20" s="4">
        <v>15075</v>
      </c>
      <c r="F20" s="13" t="s">
        <v>224</v>
      </c>
      <c r="G20" s="5" t="s">
        <v>163</v>
      </c>
      <c r="H20" s="5" t="s">
        <v>29</v>
      </c>
    </row>
    <row r="21" spans="2:8" ht="45">
      <c r="B21" s="158"/>
      <c r="C21" s="163"/>
      <c r="D21" s="13" t="s">
        <v>225</v>
      </c>
      <c r="E21" s="4">
        <v>7538</v>
      </c>
      <c r="F21" s="13" t="s">
        <v>226</v>
      </c>
      <c r="G21" s="5" t="s">
        <v>163</v>
      </c>
      <c r="H21" s="5" t="s">
        <v>29</v>
      </c>
    </row>
    <row r="22" spans="2:8" ht="45">
      <c r="B22" s="158"/>
      <c r="C22" s="163"/>
      <c r="D22" s="13" t="s">
        <v>227</v>
      </c>
      <c r="E22" s="4">
        <v>21859</v>
      </c>
      <c r="F22" s="13" t="s">
        <v>228</v>
      </c>
      <c r="G22" s="5" t="s">
        <v>163</v>
      </c>
      <c r="H22" s="5" t="s">
        <v>29</v>
      </c>
    </row>
    <row r="23" spans="2:8" ht="45">
      <c r="B23" s="158"/>
      <c r="C23" s="163"/>
      <c r="D23" s="13" t="s">
        <v>229</v>
      </c>
      <c r="E23" s="4">
        <v>14322</v>
      </c>
      <c r="F23" s="13" t="s">
        <v>230</v>
      </c>
      <c r="G23" s="5" t="s">
        <v>163</v>
      </c>
      <c r="H23" s="5" t="s">
        <v>29</v>
      </c>
    </row>
    <row r="24" spans="2:8" ht="45">
      <c r="B24" s="158"/>
      <c r="C24" s="163"/>
      <c r="D24" s="13" t="s">
        <v>231</v>
      </c>
      <c r="E24" s="4">
        <v>10944</v>
      </c>
      <c r="F24" s="13" t="s">
        <v>232</v>
      </c>
      <c r="G24" s="5" t="s">
        <v>163</v>
      </c>
      <c r="H24" s="5" t="s">
        <v>29</v>
      </c>
    </row>
    <row r="25" spans="2:8" ht="45">
      <c r="B25" s="158"/>
      <c r="C25" s="163"/>
      <c r="D25" s="13" t="s">
        <v>233</v>
      </c>
      <c r="E25" s="4">
        <v>19095</v>
      </c>
      <c r="F25" s="13" t="s">
        <v>234</v>
      </c>
      <c r="G25" s="5" t="s">
        <v>163</v>
      </c>
      <c r="H25" s="5" t="s">
        <v>29</v>
      </c>
    </row>
    <row r="26" spans="2:8" ht="45">
      <c r="B26" s="158"/>
      <c r="C26" s="163"/>
      <c r="D26" s="13" t="s">
        <v>235</v>
      </c>
      <c r="E26" s="4">
        <v>29145</v>
      </c>
      <c r="F26" s="13" t="s">
        <v>236</v>
      </c>
      <c r="G26" s="5" t="s">
        <v>163</v>
      </c>
      <c r="H26" s="5" t="s">
        <v>29</v>
      </c>
    </row>
    <row r="27" spans="2:8" ht="45">
      <c r="B27" s="158"/>
      <c r="C27" s="163"/>
      <c r="D27" s="13" t="s">
        <v>237</v>
      </c>
      <c r="E27" s="4">
        <v>28341</v>
      </c>
      <c r="F27" s="13" t="s">
        <v>238</v>
      </c>
      <c r="G27" s="5" t="s">
        <v>163</v>
      </c>
      <c r="H27" s="5" t="s">
        <v>29</v>
      </c>
    </row>
    <row r="28" spans="2:8" ht="45">
      <c r="B28" s="158"/>
      <c r="C28" s="163"/>
      <c r="D28" s="13" t="s">
        <v>239</v>
      </c>
      <c r="E28" s="4">
        <v>14271</v>
      </c>
      <c r="F28" s="13" t="s">
        <v>240</v>
      </c>
      <c r="G28" s="5" t="s">
        <v>163</v>
      </c>
      <c r="H28" s="5" t="s">
        <v>29</v>
      </c>
    </row>
    <row r="29" spans="2:8" ht="45">
      <c r="B29" s="158"/>
      <c r="C29" s="163"/>
      <c r="D29" s="13" t="s">
        <v>241</v>
      </c>
      <c r="E29" s="4">
        <v>12563</v>
      </c>
      <c r="F29" s="13" t="s">
        <v>242</v>
      </c>
      <c r="G29" s="5" t="s">
        <v>163</v>
      </c>
      <c r="H29" s="5" t="s">
        <v>29</v>
      </c>
    </row>
    <row r="30" spans="2:8" ht="45">
      <c r="B30" s="158"/>
      <c r="C30" s="163"/>
      <c r="D30" s="13" t="s">
        <v>243</v>
      </c>
      <c r="E30" s="4">
        <v>21357</v>
      </c>
      <c r="F30" s="13" t="s">
        <v>244</v>
      </c>
      <c r="G30" s="5" t="s">
        <v>163</v>
      </c>
      <c r="H30" s="5" t="s">
        <v>29</v>
      </c>
    </row>
    <row r="31" spans="2:8" ht="45">
      <c r="B31" s="158"/>
      <c r="C31" s="163"/>
      <c r="D31" s="13" t="s">
        <v>245</v>
      </c>
      <c r="E31" s="4">
        <v>17839</v>
      </c>
      <c r="F31" s="13" t="s">
        <v>246</v>
      </c>
      <c r="G31" s="5" t="s">
        <v>163</v>
      </c>
      <c r="H31" s="5" t="s">
        <v>29</v>
      </c>
    </row>
    <row r="32" spans="2:8" ht="45">
      <c r="B32" s="158"/>
      <c r="C32" s="163"/>
      <c r="D32" s="13" t="s">
        <v>247</v>
      </c>
      <c r="E32" s="4">
        <v>20100</v>
      </c>
      <c r="F32" s="13" t="s">
        <v>248</v>
      </c>
      <c r="G32" s="5" t="s">
        <v>163</v>
      </c>
      <c r="H32" s="5" t="s">
        <v>29</v>
      </c>
    </row>
    <row r="33" spans="2:8" ht="45">
      <c r="B33" s="158"/>
      <c r="C33" s="163"/>
      <c r="D33" s="13" t="s">
        <v>249</v>
      </c>
      <c r="E33" s="4">
        <v>7086</v>
      </c>
      <c r="F33" s="13" t="s">
        <v>250</v>
      </c>
      <c r="G33" s="5" t="s">
        <v>163</v>
      </c>
      <c r="H33" s="5" t="s">
        <v>29</v>
      </c>
    </row>
    <row r="34" spans="2:8" ht="45">
      <c r="B34" s="158"/>
      <c r="C34" s="163"/>
      <c r="D34" s="13" t="s">
        <v>251</v>
      </c>
      <c r="E34" s="4">
        <v>21357</v>
      </c>
      <c r="F34" s="13" t="s">
        <v>252</v>
      </c>
      <c r="G34" s="5" t="s">
        <v>163</v>
      </c>
      <c r="H34" s="5" t="s">
        <v>29</v>
      </c>
    </row>
    <row r="35" spans="2:8" ht="45">
      <c r="B35" s="159"/>
      <c r="C35" s="163"/>
      <c r="D35" s="13" t="s">
        <v>253</v>
      </c>
      <c r="E35" s="4">
        <v>5265</v>
      </c>
      <c r="F35" s="13" t="s">
        <v>254</v>
      </c>
      <c r="G35" s="75" t="s">
        <v>255</v>
      </c>
      <c r="H35" s="5" t="s">
        <v>29</v>
      </c>
    </row>
    <row r="36" spans="2:8" ht="45">
      <c r="B36" s="165" t="s">
        <v>308</v>
      </c>
      <c r="C36" s="163"/>
      <c r="D36" s="13" t="s">
        <v>326</v>
      </c>
      <c r="E36" s="4">
        <v>14000</v>
      </c>
      <c r="F36" s="13" t="s">
        <v>327</v>
      </c>
      <c r="G36" s="5" t="s">
        <v>163</v>
      </c>
      <c r="H36" s="5" t="s">
        <v>29</v>
      </c>
    </row>
    <row r="37" spans="2:8" ht="45">
      <c r="B37" s="165"/>
      <c r="C37" s="163"/>
      <c r="D37" s="13" t="s">
        <v>328</v>
      </c>
      <c r="E37" s="4">
        <v>225000</v>
      </c>
      <c r="F37" s="13" t="s">
        <v>329</v>
      </c>
      <c r="G37" s="5" t="s">
        <v>163</v>
      </c>
      <c r="H37" s="5" t="s">
        <v>29</v>
      </c>
    </row>
    <row r="38" spans="2:8" ht="45">
      <c r="B38" s="157" t="s">
        <v>373</v>
      </c>
      <c r="C38" s="163"/>
      <c r="D38" s="48" t="s">
        <v>394</v>
      </c>
      <c r="E38" s="4">
        <v>47500</v>
      </c>
      <c r="F38" s="13" t="s">
        <v>395</v>
      </c>
      <c r="G38" s="5" t="s">
        <v>163</v>
      </c>
      <c r="H38" s="5" t="s">
        <v>29</v>
      </c>
    </row>
    <row r="39" spans="2:8" ht="45">
      <c r="B39" s="158"/>
      <c r="C39" s="163"/>
      <c r="D39" s="96" t="s">
        <v>396</v>
      </c>
      <c r="E39" s="93">
        <v>162500</v>
      </c>
      <c r="F39" s="13" t="s">
        <v>398</v>
      </c>
      <c r="G39" s="5" t="s">
        <v>163</v>
      </c>
      <c r="H39" s="5" t="s">
        <v>29</v>
      </c>
    </row>
    <row r="40" spans="2:8" ht="45">
      <c r="B40" s="158"/>
      <c r="C40" s="163"/>
      <c r="D40" s="97" t="s">
        <v>397</v>
      </c>
      <c r="E40" s="93">
        <v>143750</v>
      </c>
      <c r="F40" s="13" t="s">
        <v>399</v>
      </c>
      <c r="G40" s="5" t="s">
        <v>163</v>
      </c>
      <c r="H40" s="5" t="s">
        <v>29</v>
      </c>
    </row>
    <row r="41" spans="2:8" ht="45">
      <c r="B41" s="158"/>
      <c r="C41" s="163"/>
      <c r="D41" s="96" t="s">
        <v>400</v>
      </c>
      <c r="E41" s="93">
        <v>122513</v>
      </c>
      <c r="F41" s="13" t="s">
        <v>404</v>
      </c>
      <c r="G41" s="5" t="s">
        <v>163</v>
      </c>
      <c r="H41" s="5" t="s">
        <v>29</v>
      </c>
    </row>
    <row r="42" spans="2:8" ht="45">
      <c r="B42" s="158"/>
      <c r="C42" s="163"/>
      <c r="D42" s="96" t="s">
        <v>401</v>
      </c>
      <c r="E42" s="93">
        <v>45000</v>
      </c>
      <c r="F42" s="13" t="s">
        <v>405</v>
      </c>
      <c r="G42" s="5" t="s">
        <v>163</v>
      </c>
      <c r="H42" s="5" t="s">
        <v>29</v>
      </c>
    </row>
    <row r="43" spans="2:8" ht="60">
      <c r="B43" s="158"/>
      <c r="C43" s="163"/>
      <c r="D43" s="96" t="s">
        <v>402</v>
      </c>
      <c r="E43" s="93">
        <v>175018</v>
      </c>
      <c r="F43" s="13" t="s">
        <v>406</v>
      </c>
      <c r="G43" s="5" t="s">
        <v>163</v>
      </c>
      <c r="H43" s="5" t="s">
        <v>185</v>
      </c>
    </row>
    <row r="44" spans="2:8" ht="60">
      <c r="B44" s="159"/>
      <c r="C44" s="163"/>
      <c r="D44" s="96" t="s">
        <v>403</v>
      </c>
      <c r="E44" s="93">
        <v>90000</v>
      </c>
      <c r="F44" s="13" t="s">
        <v>407</v>
      </c>
      <c r="G44" s="5" t="s">
        <v>163</v>
      </c>
      <c r="H44" s="5" t="s">
        <v>185</v>
      </c>
    </row>
    <row r="45" spans="2:8" ht="45">
      <c r="B45" s="157" t="s">
        <v>438</v>
      </c>
      <c r="C45" s="163"/>
      <c r="D45" s="116" t="s">
        <v>452</v>
      </c>
      <c r="E45" s="93">
        <v>81000</v>
      </c>
      <c r="F45" s="13" t="s">
        <v>453</v>
      </c>
      <c r="G45" s="5" t="s">
        <v>163</v>
      </c>
      <c r="H45" s="5" t="s">
        <v>29</v>
      </c>
    </row>
    <row r="46" spans="2:8" ht="45">
      <c r="B46" s="158"/>
      <c r="C46" s="163"/>
      <c r="D46" s="116" t="s">
        <v>454</v>
      </c>
      <c r="E46" s="93">
        <v>168875</v>
      </c>
      <c r="F46" s="13" t="s">
        <v>455</v>
      </c>
      <c r="G46" s="5" t="s">
        <v>163</v>
      </c>
      <c r="H46" s="5" t="s">
        <v>29</v>
      </c>
    </row>
    <row r="47" spans="2:8" ht="45">
      <c r="B47" s="158"/>
      <c r="C47" s="163"/>
      <c r="D47" s="116" t="s">
        <v>456</v>
      </c>
      <c r="E47" s="93">
        <v>17750</v>
      </c>
      <c r="F47" s="13" t="s">
        <v>457</v>
      </c>
      <c r="G47" s="5" t="s">
        <v>163</v>
      </c>
      <c r="H47" s="5" t="s">
        <v>29</v>
      </c>
    </row>
    <row r="48" spans="2:8" ht="45">
      <c r="B48" s="158"/>
      <c r="C48" s="163"/>
      <c r="D48" s="116" t="s">
        <v>458</v>
      </c>
      <c r="E48" s="93">
        <v>7500</v>
      </c>
      <c r="F48" s="13" t="s">
        <v>459</v>
      </c>
      <c r="G48" s="5" t="s">
        <v>163</v>
      </c>
      <c r="H48" s="5" t="s">
        <v>29</v>
      </c>
    </row>
    <row r="49" spans="2:8" ht="45">
      <c r="B49" s="158"/>
      <c r="C49" s="163"/>
      <c r="D49" s="116" t="s">
        <v>460</v>
      </c>
      <c r="E49" s="93">
        <v>31250</v>
      </c>
      <c r="F49" s="13" t="s">
        <v>461</v>
      </c>
      <c r="G49" s="5" t="s">
        <v>163</v>
      </c>
      <c r="H49" s="5" t="s">
        <v>29</v>
      </c>
    </row>
    <row r="50" spans="2:8" ht="45">
      <c r="B50" s="158"/>
      <c r="C50" s="163"/>
      <c r="D50" s="116" t="s">
        <v>462</v>
      </c>
      <c r="E50" s="93">
        <v>7100</v>
      </c>
      <c r="F50" s="13" t="s">
        <v>463</v>
      </c>
      <c r="G50" s="5" t="s">
        <v>163</v>
      </c>
      <c r="H50" s="5" t="s">
        <v>29</v>
      </c>
    </row>
    <row r="51" spans="2:8" ht="45">
      <c r="B51" s="158"/>
      <c r="C51" s="163"/>
      <c r="D51" s="116" t="s">
        <v>464</v>
      </c>
      <c r="E51" s="93">
        <v>15000</v>
      </c>
      <c r="F51" s="13" t="s">
        <v>465</v>
      </c>
      <c r="G51" s="5" t="s">
        <v>163</v>
      </c>
      <c r="H51" s="5" t="s">
        <v>29</v>
      </c>
    </row>
    <row r="52" spans="2:8" ht="45">
      <c r="B52" s="158"/>
      <c r="C52" s="163"/>
      <c r="D52" s="116" t="s">
        <v>466</v>
      </c>
      <c r="E52" s="93">
        <v>7500</v>
      </c>
      <c r="F52" s="13" t="s">
        <v>467</v>
      </c>
      <c r="G52" s="5" t="s">
        <v>163</v>
      </c>
      <c r="H52" s="5" t="s">
        <v>29</v>
      </c>
    </row>
    <row r="53" spans="2:8" ht="45">
      <c r="B53" s="158"/>
      <c r="C53" s="163"/>
      <c r="D53" s="116" t="s">
        <v>468</v>
      </c>
      <c r="E53" s="93">
        <v>21750</v>
      </c>
      <c r="F53" s="13" t="s">
        <v>469</v>
      </c>
      <c r="G53" s="5" t="s">
        <v>163</v>
      </c>
      <c r="H53" s="5" t="s">
        <v>29</v>
      </c>
    </row>
    <row r="54" spans="2:8" ht="45">
      <c r="B54" s="158"/>
      <c r="C54" s="163"/>
      <c r="D54" s="116" t="s">
        <v>470</v>
      </c>
      <c r="E54" s="93">
        <v>14250</v>
      </c>
      <c r="F54" s="13" t="s">
        <v>471</v>
      </c>
      <c r="G54" s="5" t="s">
        <v>163</v>
      </c>
      <c r="H54" s="5" t="s">
        <v>29</v>
      </c>
    </row>
    <row r="55" spans="2:8" ht="45">
      <c r="B55" s="158"/>
      <c r="C55" s="163"/>
      <c r="D55" s="116" t="s">
        <v>472</v>
      </c>
      <c r="E55" s="93">
        <v>19000</v>
      </c>
      <c r="F55" s="13" t="s">
        <v>473</v>
      </c>
      <c r="G55" s="5" t="s">
        <v>163</v>
      </c>
      <c r="H55" s="5" t="s">
        <v>29</v>
      </c>
    </row>
    <row r="56" spans="2:8" ht="45">
      <c r="B56" s="158"/>
      <c r="C56" s="163"/>
      <c r="D56" s="116" t="s">
        <v>474</v>
      </c>
      <c r="E56" s="93">
        <v>29000</v>
      </c>
      <c r="F56" s="13" t="s">
        <v>475</v>
      </c>
      <c r="G56" s="5" t="s">
        <v>163</v>
      </c>
      <c r="H56" s="5" t="s">
        <v>29</v>
      </c>
    </row>
    <row r="57" spans="2:8" ht="45">
      <c r="B57" s="158"/>
      <c r="C57" s="163"/>
      <c r="D57" s="116" t="s">
        <v>476</v>
      </c>
      <c r="E57" s="93">
        <v>28200</v>
      </c>
      <c r="F57" s="13" t="s">
        <v>477</v>
      </c>
      <c r="G57" s="5" t="s">
        <v>163</v>
      </c>
      <c r="H57" s="5" t="s">
        <v>29</v>
      </c>
    </row>
    <row r="58" spans="2:8" ht="45">
      <c r="B58" s="158"/>
      <c r="C58" s="163"/>
      <c r="D58" s="116" t="s">
        <v>478</v>
      </c>
      <c r="E58" s="93">
        <v>14200</v>
      </c>
      <c r="F58" s="13" t="s">
        <v>479</v>
      </c>
      <c r="G58" s="5" t="s">
        <v>163</v>
      </c>
      <c r="H58" s="5" t="s">
        <v>29</v>
      </c>
    </row>
    <row r="59" spans="2:8" ht="45">
      <c r="B59" s="158"/>
      <c r="C59" s="163"/>
      <c r="D59" s="116" t="s">
        <v>480</v>
      </c>
      <c r="E59" s="93">
        <v>12500</v>
      </c>
      <c r="F59" s="13" t="s">
        <v>481</v>
      </c>
      <c r="G59" s="5" t="s">
        <v>163</v>
      </c>
      <c r="H59" s="5" t="s">
        <v>29</v>
      </c>
    </row>
    <row r="60" spans="2:8" ht="45">
      <c r="B60" s="158"/>
      <c r="C60" s="163"/>
      <c r="D60" s="116" t="s">
        <v>482</v>
      </c>
      <c r="E60" s="93">
        <v>21250</v>
      </c>
      <c r="F60" s="13" t="s">
        <v>483</v>
      </c>
      <c r="G60" s="5" t="s">
        <v>163</v>
      </c>
      <c r="H60" s="5" t="s">
        <v>29</v>
      </c>
    </row>
    <row r="61" spans="2:8" ht="45">
      <c r="B61" s="158"/>
      <c r="C61" s="163"/>
      <c r="D61" s="116" t="s">
        <v>484</v>
      </c>
      <c r="E61" s="93">
        <v>17750</v>
      </c>
      <c r="F61" s="13" t="s">
        <v>485</v>
      </c>
      <c r="G61" s="5" t="s">
        <v>163</v>
      </c>
      <c r="H61" s="5" t="s">
        <v>29</v>
      </c>
    </row>
    <row r="62" spans="2:8" ht="45">
      <c r="B62" s="158"/>
      <c r="C62" s="163"/>
      <c r="D62" s="116" t="s">
        <v>486</v>
      </c>
      <c r="E62" s="93">
        <v>20000</v>
      </c>
      <c r="F62" s="13" t="s">
        <v>487</v>
      </c>
      <c r="G62" s="5" t="s">
        <v>163</v>
      </c>
      <c r="H62" s="5" t="s">
        <v>29</v>
      </c>
    </row>
    <row r="63" spans="2:8" ht="45">
      <c r="B63" s="158"/>
      <c r="C63" s="163"/>
      <c r="D63" s="116" t="s">
        <v>488</v>
      </c>
      <c r="E63" s="93">
        <v>7050</v>
      </c>
      <c r="F63" s="13" t="s">
        <v>489</v>
      </c>
      <c r="G63" s="5" t="s">
        <v>163</v>
      </c>
      <c r="H63" s="5" t="s">
        <v>29</v>
      </c>
    </row>
    <row r="64" spans="2:8" ht="45">
      <c r="B64" s="158"/>
      <c r="C64" s="163"/>
      <c r="D64" s="116" t="s">
        <v>490</v>
      </c>
      <c r="E64" s="93">
        <v>21250</v>
      </c>
      <c r="F64" s="13" t="s">
        <v>491</v>
      </c>
      <c r="G64" s="5" t="s">
        <v>163</v>
      </c>
      <c r="H64" s="5" t="s">
        <v>29</v>
      </c>
    </row>
    <row r="65" spans="2:8" ht="45">
      <c r="B65" s="158"/>
      <c r="C65" s="163"/>
      <c r="D65" s="116" t="s">
        <v>492</v>
      </c>
      <c r="E65" s="93">
        <v>50000</v>
      </c>
      <c r="F65" s="13" t="s">
        <v>493</v>
      </c>
      <c r="G65" s="5" t="s">
        <v>163</v>
      </c>
      <c r="H65" s="5" t="s">
        <v>29</v>
      </c>
    </row>
    <row r="66" spans="2:8" ht="45">
      <c r="B66" s="159"/>
      <c r="C66" s="163"/>
      <c r="D66" s="116" t="s">
        <v>494</v>
      </c>
      <c r="E66" s="93">
        <v>2125</v>
      </c>
      <c r="F66" s="13" t="s">
        <v>495</v>
      </c>
      <c r="G66" s="114" t="s">
        <v>496</v>
      </c>
      <c r="H66" s="5" t="s">
        <v>29</v>
      </c>
    </row>
    <row r="67" spans="2:8" ht="45">
      <c r="B67" s="157" t="s">
        <v>540</v>
      </c>
      <c r="C67" s="163"/>
      <c r="D67" s="116" t="s">
        <v>326</v>
      </c>
      <c r="E67" s="93">
        <v>14000</v>
      </c>
      <c r="F67" s="13" t="s">
        <v>560</v>
      </c>
      <c r="G67" s="5" t="s">
        <v>163</v>
      </c>
      <c r="H67" s="5" t="s">
        <v>29</v>
      </c>
    </row>
    <row r="68" spans="2:8" ht="45">
      <c r="B68" s="159"/>
      <c r="C68" s="163"/>
      <c r="D68" s="116" t="s">
        <v>328</v>
      </c>
      <c r="E68" s="93">
        <v>226125</v>
      </c>
      <c r="F68" s="13" t="s">
        <v>561</v>
      </c>
      <c r="G68" s="5" t="s">
        <v>163</v>
      </c>
      <c r="H68" s="5" t="s">
        <v>29</v>
      </c>
    </row>
    <row r="69" spans="2:8" ht="45">
      <c r="B69" s="157" t="s">
        <v>597</v>
      </c>
      <c r="C69" s="163"/>
      <c r="D69" s="116" t="s">
        <v>394</v>
      </c>
      <c r="E69" s="93">
        <v>47500</v>
      </c>
      <c r="F69" s="13" t="s">
        <v>618</v>
      </c>
      <c r="G69" s="5" t="s">
        <v>163</v>
      </c>
      <c r="H69" s="5" t="s">
        <v>29</v>
      </c>
    </row>
    <row r="70" spans="2:8" ht="45">
      <c r="B70" s="158"/>
      <c r="C70" s="163"/>
      <c r="D70" s="116" t="s">
        <v>619</v>
      </c>
      <c r="E70" s="93">
        <v>143750</v>
      </c>
      <c r="F70" s="13" t="s">
        <v>620</v>
      </c>
      <c r="G70" s="5" t="s">
        <v>163</v>
      </c>
      <c r="H70" s="5" t="s">
        <v>29</v>
      </c>
    </row>
    <row r="71" spans="2:8" ht="45">
      <c r="B71" s="159"/>
      <c r="C71" s="163"/>
      <c r="D71" s="116" t="s">
        <v>396</v>
      </c>
      <c r="E71" s="93">
        <v>162500</v>
      </c>
      <c r="F71" s="13" t="s">
        <v>621</v>
      </c>
      <c r="G71" s="5" t="s">
        <v>163</v>
      </c>
      <c r="H71" s="5" t="s">
        <v>29</v>
      </c>
    </row>
    <row r="72" spans="2:8" ht="45">
      <c r="B72" s="157" t="s">
        <v>650</v>
      </c>
      <c r="C72" s="163"/>
      <c r="D72" s="116" t="s">
        <v>694</v>
      </c>
      <c r="E72" s="93">
        <v>81000</v>
      </c>
      <c r="F72" s="13" t="s">
        <v>695</v>
      </c>
      <c r="G72" s="5" t="s">
        <v>163</v>
      </c>
      <c r="H72" s="5" t="s">
        <v>29</v>
      </c>
    </row>
    <row r="73" spans="2:8" ht="45">
      <c r="B73" s="158"/>
      <c r="C73" s="163"/>
      <c r="D73" s="116" t="s">
        <v>696</v>
      </c>
      <c r="E73" s="93">
        <v>7500</v>
      </c>
      <c r="F73" s="13" t="s">
        <v>697</v>
      </c>
      <c r="G73" s="5" t="s">
        <v>163</v>
      </c>
      <c r="H73" s="5" t="s">
        <v>29</v>
      </c>
    </row>
    <row r="74" spans="2:8" ht="45">
      <c r="B74" s="158"/>
      <c r="C74" s="163"/>
      <c r="D74" s="116" t="s">
        <v>698</v>
      </c>
      <c r="E74" s="93">
        <v>17750</v>
      </c>
      <c r="F74" s="13" t="s">
        <v>701</v>
      </c>
      <c r="G74" s="5" t="s">
        <v>163</v>
      </c>
      <c r="H74" s="5" t="s">
        <v>29</v>
      </c>
    </row>
    <row r="75" spans="2:8" ht="45">
      <c r="B75" s="158"/>
      <c r="C75" s="163"/>
      <c r="D75" s="116" t="s">
        <v>699</v>
      </c>
      <c r="E75" s="93">
        <v>14250</v>
      </c>
      <c r="F75" s="13" t="s">
        <v>702</v>
      </c>
      <c r="G75" s="5" t="s">
        <v>163</v>
      </c>
      <c r="H75" s="5" t="s">
        <v>29</v>
      </c>
    </row>
    <row r="76" spans="2:8" ht="45">
      <c r="B76" s="158"/>
      <c r="C76" s="163"/>
      <c r="D76" s="116" t="s">
        <v>700</v>
      </c>
      <c r="E76" s="93">
        <v>28200</v>
      </c>
      <c r="F76" s="13" t="s">
        <v>703</v>
      </c>
      <c r="G76" s="5" t="s">
        <v>163</v>
      </c>
      <c r="H76" s="5" t="s">
        <v>29</v>
      </c>
    </row>
    <row r="77" spans="2:8" ht="45">
      <c r="B77" s="158"/>
      <c r="C77" s="163"/>
      <c r="D77" s="116" t="s">
        <v>704</v>
      </c>
      <c r="E77" s="93">
        <v>29000</v>
      </c>
      <c r="F77" s="13" t="s">
        <v>705</v>
      </c>
      <c r="G77" s="5" t="s">
        <v>163</v>
      </c>
      <c r="H77" s="5" t="s">
        <v>29</v>
      </c>
    </row>
    <row r="78" spans="2:8" ht="45">
      <c r="B78" s="158"/>
      <c r="C78" s="163"/>
      <c r="D78" s="116" t="s">
        <v>706</v>
      </c>
      <c r="E78" s="93">
        <v>15000</v>
      </c>
      <c r="F78" s="13" t="s">
        <v>707</v>
      </c>
      <c r="G78" s="5" t="s">
        <v>163</v>
      </c>
      <c r="H78" s="5" t="s">
        <v>29</v>
      </c>
    </row>
    <row r="79" spans="2:8" ht="45">
      <c r="B79" s="158"/>
      <c r="C79" s="163"/>
      <c r="D79" s="116" t="s">
        <v>708</v>
      </c>
      <c r="E79" s="93">
        <v>14200</v>
      </c>
      <c r="F79" s="13" t="s">
        <v>709</v>
      </c>
      <c r="G79" s="5" t="s">
        <v>163</v>
      </c>
      <c r="H79" s="5" t="s">
        <v>29</v>
      </c>
    </row>
    <row r="80" spans="2:8" ht="45">
      <c r="B80" s="158"/>
      <c r="C80" s="163"/>
      <c r="D80" s="116" t="s">
        <v>710</v>
      </c>
      <c r="E80" s="93">
        <v>20000</v>
      </c>
      <c r="F80" s="13" t="s">
        <v>711</v>
      </c>
      <c r="G80" s="5" t="s">
        <v>163</v>
      </c>
      <c r="H80" s="5" t="s">
        <v>29</v>
      </c>
    </row>
    <row r="81" spans="2:8" ht="45">
      <c r="B81" s="158"/>
      <c r="C81" s="163"/>
      <c r="D81" s="116" t="s">
        <v>712</v>
      </c>
      <c r="E81" s="93">
        <v>21250</v>
      </c>
      <c r="F81" s="13" t="s">
        <v>713</v>
      </c>
      <c r="G81" s="5" t="s">
        <v>163</v>
      </c>
      <c r="H81" s="5" t="s">
        <v>29</v>
      </c>
    </row>
    <row r="82" spans="2:8" ht="45">
      <c r="B82" s="158"/>
      <c r="C82" s="163"/>
      <c r="D82" s="116" t="s">
        <v>714</v>
      </c>
      <c r="E82" s="93">
        <v>7500</v>
      </c>
      <c r="F82" s="13" t="s">
        <v>715</v>
      </c>
      <c r="G82" s="5" t="s">
        <v>163</v>
      </c>
      <c r="H82" s="5" t="s">
        <v>29</v>
      </c>
    </row>
    <row r="83" spans="2:8" ht="45">
      <c r="B83" s="158"/>
      <c r="C83" s="163"/>
      <c r="D83" s="116" t="s">
        <v>716</v>
      </c>
      <c r="E83" s="93">
        <v>7100</v>
      </c>
      <c r="F83" s="13" t="s">
        <v>717</v>
      </c>
      <c r="G83" s="5" t="s">
        <v>163</v>
      </c>
      <c r="H83" s="5" t="s">
        <v>29</v>
      </c>
    </row>
    <row r="84" spans="2:8" ht="45">
      <c r="B84" s="158"/>
      <c r="C84" s="163"/>
      <c r="D84" s="116" t="s">
        <v>718</v>
      </c>
      <c r="E84" s="93">
        <v>7050</v>
      </c>
      <c r="F84" s="13" t="s">
        <v>719</v>
      </c>
      <c r="G84" s="5" t="s">
        <v>163</v>
      </c>
      <c r="H84" s="5" t="s">
        <v>29</v>
      </c>
    </row>
    <row r="85" spans="2:8" ht="45">
      <c r="B85" s="158"/>
      <c r="C85" s="163"/>
      <c r="D85" s="116" t="s">
        <v>720</v>
      </c>
      <c r="E85" s="93">
        <v>21250</v>
      </c>
      <c r="F85" s="13" t="s">
        <v>721</v>
      </c>
      <c r="G85" s="5" t="s">
        <v>163</v>
      </c>
      <c r="H85" s="5" t="s">
        <v>29</v>
      </c>
    </row>
    <row r="86" spans="2:8" ht="45">
      <c r="B86" s="158"/>
      <c r="C86" s="163"/>
      <c r="D86" s="116" t="s">
        <v>722</v>
      </c>
      <c r="E86" s="93">
        <v>19000</v>
      </c>
      <c r="F86" s="13" t="s">
        <v>723</v>
      </c>
      <c r="G86" s="5" t="s">
        <v>163</v>
      </c>
      <c r="H86" s="5" t="s">
        <v>29</v>
      </c>
    </row>
    <row r="87" spans="2:8" ht="45">
      <c r="B87" s="158"/>
      <c r="C87" s="163"/>
      <c r="D87" s="116" t="s">
        <v>724</v>
      </c>
      <c r="E87" s="93">
        <v>21750</v>
      </c>
      <c r="F87" s="13" t="s">
        <v>725</v>
      </c>
      <c r="G87" s="5" t="s">
        <v>163</v>
      </c>
      <c r="H87" s="5" t="s">
        <v>29</v>
      </c>
    </row>
    <row r="88" spans="2:8" ht="45">
      <c r="B88" s="158"/>
      <c r="C88" s="163"/>
      <c r="D88" s="116" t="s">
        <v>726</v>
      </c>
      <c r="E88" s="93">
        <v>31250</v>
      </c>
      <c r="F88" s="13" t="s">
        <v>727</v>
      </c>
      <c r="G88" s="5" t="s">
        <v>163</v>
      </c>
      <c r="H88" s="5" t="s">
        <v>29</v>
      </c>
    </row>
    <row r="89" spans="2:8" ht="45">
      <c r="B89" s="158"/>
      <c r="C89" s="163"/>
      <c r="D89" s="116" t="s">
        <v>728</v>
      </c>
      <c r="E89" s="93">
        <v>17750</v>
      </c>
      <c r="F89" s="13" t="s">
        <v>729</v>
      </c>
      <c r="G89" s="5" t="s">
        <v>163</v>
      </c>
      <c r="H89" s="5" t="s">
        <v>29</v>
      </c>
    </row>
    <row r="90" spans="2:8" ht="45">
      <c r="B90" s="158"/>
      <c r="C90" s="163"/>
      <c r="D90" s="116" t="s">
        <v>730</v>
      </c>
      <c r="E90" s="93">
        <v>12500</v>
      </c>
      <c r="F90" s="13" t="s">
        <v>731</v>
      </c>
      <c r="G90" s="5" t="s">
        <v>163</v>
      </c>
      <c r="H90" s="5" t="s">
        <v>29</v>
      </c>
    </row>
    <row r="91" spans="2:8" ht="45">
      <c r="B91" s="158"/>
      <c r="C91" s="163"/>
      <c r="D91" s="116" t="s">
        <v>732</v>
      </c>
      <c r="E91" s="93">
        <v>50000</v>
      </c>
      <c r="F91" s="13" t="s">
        <v>733</v>
      </c>
      <c r="G91" s="5" t="s">
        <v>163</v>
      </c>
      <c r="H91" s="5" t="s">
        <v>29</v>
      </c>
    </row>
    <row r="92" spans="2:8" ht="45">
      <c r="B92" s="158"/>
      <c r="C92" s="163"/>
      <c r="D92" s="116" t="s">
        <v>734</v>
      </c>
      <c r="E92" s="93">
        <v>67550</v>
      </c>
      <c r="F92" s="13" t="s">
        <v>735</v>
      </c>
      <c r="G92" s="137" t="s">
        <v>736</v>
      </c>
      <c r="H92" s="5" t="s">
        <v>29</v>
      </c>
    </row>
    <row r="93" spans="2:8" ht="45">
      <c r="B93" s="158"/>
      <c r="C93" s="163"/>
      <c r="D93" s="116" t="s">
        <v>737</v>
      </c>
      <c r="E93" s="93">
        <v>122513</v>
      </c>
      <c r="F93" s="13" t="s">
        <v>738</v>
      </c>
      <c r="G93" s="5" t="s">
        <v>163</v>
      </c>
      <c r="H93" s="5" t="s">
        <v>29</v>
      </c>
    </row>
    <row r="94" spans="2:8" ht="45">
      <c r="B94" s="159"/>
      <c r="C94" s="163"/>
      <c r="D94" s="116" t="s">
        <v>739</v>
      </c>
      <c r="E94" s="93">
        <v>45000</v>
      </c>
      <c r="F94" s="13" t="s">
        <v>740</v>
      </c>
      <c r="G94" s="5" t="s">
        <v>163</v>
      </c>
      <c r="H94" s="5" t="s">
        <v>29</v>
      </c>
    </row>
    <row r="95" spans="2:8" ht="45">
      <c r="B95" s="157" t="s">
        <v>770</v>
      </c>
      <c r="C95" s="163"/>
      <c r="D95" s="116" t="s">
        <v>806</v>
      </c>
      <c r="E95" s="93">
        <v>14500</v>
      </c>
      <c r="F95" s="13" t="s">
        <v>808</v>
      </c>
      <c r="G95" s="5" t="s">
        <v>163</v>
      </c>
      <c r="H95" s="5" t="s">
        <v>29</v>
      </c>
    </row>
    <row r="96" spans="2:8" ht="45">
      <c r="B96" s="158"/>
      <c r="C96" s="163"/>
      <c r="D96" s="116" t="s">
        <v>807</v>
      </c>
      <c r="E96" s="93">
        <v>77300</v>
      </c>
      <c r="F96" s="13" t="s">
        <v>809</v>
      </c>
      <c r="G96" s="5" t="s">
        <v>163</v>
      </c>
      <c r="H96" s="5" t="s">
        <v>29</v>
      </c>
    </row>
    <row r="97" spans="2:8" ht="45">
      <c r="B97" s="158"/>
      <c r="C97" s="163"/>
      <c r="D97" s="116" t="s">
        <v>810</v>
      </c>
      <c r="E97" s="93">
        <v>16050</v>
      </c>
      <c r="F97" s="13" t="s">
        <v>811</v>
      </c>
      <c r="G97" s="5" t="s">
        <v>163</v>
      </c>
      <c r="H97" s="5" t="s">
        <v>29</v>
      </c>
    </row>
    <row r="98" spans="2:8" ht="45">
      <c r="B98" s="158"/>
      <c r="C98" s="163"/>
      <c r="D98" s="116" t="s">
        <v>812</v>
      </c>
      <c r="E98" s="93">
        <v>8500</v>
      </c>
      <c r="F98" s="13" t="s">
        <v>813</v>
      </c>
      <c r="G98" s="5" t="s">
        <v>163</v>
      </c>
      <c r="H98" s="5" t="s">
        <v>29</v>
      </c>
    </row>
    <row r="99" spans="2:8" ht="45">
      <c r="B99" s="159"/>
      <c r="C99" s="164"/>
      <c r="D99" s="116" t="s">
        <v>814</v>
      </c>
      <c r="E99" s="93">
        <v>14000</v>
      </c>
      <c r="F99" s="13" t="s">
        <v>815</v>
      </c>
      <c r="G99" s="5" t="s">
        <v>163</v>
      </c>
      <c r="H99" s="5" t="s">
        <v>29</v>
      </c>
    </row>
    <row r="100" spans="2:8" ht="15.75">
      <c r="B100" s="135"/>
      <c r="C100" s="145"/>
      <c r="D100" s="116"/>
      <c r="E100" s="93"/>
      <c r="F100" s="13"/>
      <c r="G100" s="5"/>
      <c r="H100" s="5"/>
    </row>
    <row r="101" spans="2:8" ht="15.75" customHeight="1">
      <c r="B101" s="168" t="s">
        <v>33</v>
      </c>
      <c r="C101" s="169"/>
      <c r="D101" s="103"/>
      <c r="E101" s="5">
        <f>SUM(E5:E100)</f>
        <v>4382509</v>
      </c>
      <c r="F101" s="13"/>
      <c r="G101" s="4"/>
      <c r="H101" s="5"/>
    </row>
    <row r="102" spans="2:8">
      <c r="B102" s="62" t="s">
        <v>43</v>
      </c>
      <c r="C102" s="162" t="s">
        <v>18</v>
      </c>
      <c r="D102" s="4" t="s">
        <v>32</v>
      </c>
      <c r="E102" s="4">
        <v>0</v>
      </c>
      <c r="F102" s="4" t="s">
        <v>32</v>
      </c>
      <c r="G102" s="4" t="s">
        <v>32</v>
      </c>
      <c r="H102" s="4" t="s">
        <v>32</v>
      </c>
    </row>
    <row r="103" spans="2:8">
      <c r="B103" s="68" t="s">
        <v>74</v>
      </c>
      <c r="C103" s="163"/>
      <c r="D103" s="4" t="s">
        <v>32</v>
      </c>
      <c r="E103" s="4">
        <v>0</v>
      </c>
      <c r="F103" s="4" t="s">
        <v>32</v>
      </c>
      <c r="G103" s="4" t="s">
        <v>32</v>
      </c>
      <c r="H103" s="4" t="s">
        <v>32</v>
      </c>
    </row>
    <row r="104" spans="2:8">
      <c r="B104" s="78" t="s">
        <v>160</v>
      </c>
      <c r="C104" s="163"/>
      <c r="D104" s="4" t="s">
        <v>32</v>
      </c>
      <c r="E104" s="4">
        <v>0</v>
      </c>
      <c r="F104" s="4" t="s">
        <v>32</v>
      </c>
      <c r="G104" s="4" t="s">
        <v>32</v>
      </c>
      <c r="H104" s="4" t="s">
        <v>32</v>
      </c>
    </row>
    <row r="105" spans="2:8">
      <c r="B105" s="80" t="s">
        <v>308</v>
      </c>
      <c r="C105" s="163"/>
      <c r="D105" s="26" t="s">
        <v>32</v>
      </c>
      <c r="E105" s="4">
        <v>0</v>
      </c>
      <c r="F105" s="26" t="s">
        <v>32</v>
      </c>
      <c r="G105" s="4" t="s">
        <v>32</v>
      </c>
      <c r="H105" s="4" t="s">
        <v>32</v>
      </c>
    </row>
    <row r="106" spans="2:8" ht="15.75" customHeight="1">
      <c r="B106" s="92" t="s">
        <v>373</v>
      </c>
      <c r="C106" s="163"/>
      <c r="D106" s="4" t="s">
        <v>32</v>
      </c>
      <c r="E106" s="4">
        <v>0</v>
      </c>
      <c r="F106" s="4" t="s">
        <v>32</v>
      </c>
      <c r="G106" s="4" t="s">
        <v>32</v>
      </c>
      <c r="H106" s="4" t="s">
        <v>32</v>
      </c>
    </row>
    <row r="107" spans="2:8" ht="15.75" customHeight="1">
      <c r="B107" s="115" t="s">
        <v>438</v>
      </c>
      <c r="C107" s="163"/>
      <c r="D107" s="4" t="s">
        <v>32</v>
      </c>
      <c r="E107" s="4">
        <v>0</v>
      </c>
      <c r="F107" s="4" t="s">
        <v>32</v>
      </c>
      <c r="G107" s="4" t="s">
        <v>32</v>
      </c>
      <c r="H107" s="4" t="s">
        <v>32</v>
      </c>
    </row>
    <row r="108" spans="2:8">
      <c r="B108" s="119" t="s">
        <v>540</v>
      </c>
      <c r="C108" s="163"/>
      <c r="D108" s="4" t="s">
        <v>32</v>
      </c>
      <c r="E108" s="4">
        <v>0</v>
      </c>
      <c r="F108" s="4" t="s">
        <v>32</v>
      </c>
      <c r="G108" s="4" t="s">
        <v>32</v>
      </c>
      <c r="H108" s="4" t="s">
        <v>32</v>
      </c>
    </row>
    <row r="109" spans="2:8">
      <c r="B109" s="123" t="s">
        <v>597</v>
      </c>
      <c r="C109" s="163"/>
      <c r="D109" s="26" t="s">
        <v>32</v>
      </c>
      <c r="E109" s="4">
        <v>0</v>
      </c>
      <c r="F109" s="26" t="s">
        <v>32</v>
      </c>
      <c r="G109" s="4" t="s">
        <v>32</v>
      </c>
      <c r="H109" s="4" t="s">
        <v>32</v>
      </c>
    </row>
    <row r="110" spans="2:8" ht="15.75" customHeight="1">
      <c r="B110" s="138" t="s">
        <v>650</v>
      </c>
      <c r="C110" s="163"/>
      <c r="D110" s="4" t="s">
        <v>32</v>
      </c>
      <c r="E110" s="4">
        <v>0</v>
      </c>
      <c r="F110" s="4" t="s">
        <v>32</v>
      </c>
      <c r="G110" s="4" t="s">
        <v>32</v>
      </c>
      <c r="H110" s="4" t="s">
        <v>32</v>
      </c>
    </row>
    <row r="111" spans="2:8" ht="15.75" customHeight="1">
      <c r="B111" s="123" t="s">
        <v>770</v>
      </c>
      <c r="C111" s="163"/>
      <c r="D111" s="4" t="s">
        <v>32</v>
      </c>
      <c r="E111" s="4">
        <v>0</v>
      </c>
      <c r="F111" s="4" t="s">
        <v>32</v>
      </c>
      <c r="G111" s="4" t="s">
        <v>32</v>
      </c>
      <c r="H111" s="4" t="s">
        <v>32</v>
      </c>
    </row>
    <row r="112" spans="2:8">
      <c r="B112" s="52"/>
      <c r="C112" s="163"/>
      <c r="D112" s="26"/>
      <c r="E112" s="4"/>
      <c r="F112" s="26"/>
      <c r="G112" s="4"/>
      <c r="H112" s="4"/>
    </row>
    <row r="113" spans="2:8" ht="15.75" customHeight="1">
      <c r="B113" s="61"/>
      <c r="C113" s="163"/>
      <c r="D113" s="4"/>
      <c r="E113" s="4"/>
      <c r="F113" s="4"/>
      <c r="G113" s="4"/>
      <c r="H113" s="4"/>
    </row>
    <row r="114" spans="2:8">
      <c r="B114" s="166" t="s">
        <v>33</v>
      </c>
      <c r="C114" s="167"/>
      <c r="D114" s="5"/>
      <c r="E114" s="5">
        <f>SUM(E102:E113)</f>
        <v>0</v>
      </c>
      <c r="F114" s="5"/>
      <c r="G114" s="5"/>
      <c r="H114" s="5"/>
    </row>
    <row r="115" spans="2:8" ht="45">
      <c r="B115" s="174" t="s">
        <v>43</v>
      </c>
      <c r="C115" s="162" t="s">
        <v>19</v>
      </c>
      <c r="D115" s="12" t="s">
        <v>45</v>
      </c>
      <c r="E115" s="4">
        <v>12250</v>
      </c>
      <c r="F115" s="13" t="s">
        <v>70</v>
      </c>
      <c r="G115" s="5" t="s">
        <v>163</v>
      </c>
      <c r="H115" s="5" t="s">
        <v>29</v>
      </c>
    </row>
    <row r="116" spans="2:8" ht="45">
      <c r="B116" s="178"/>
      <c r="C116" s="163"/>
      <c r="D116" s="16" t="s">
        <v>46</v>
      </c>
      <c r="E116" s="4">
        <v>5251</v>
      </c>
      <c r="F116" s="13" t="s">
        <v>71</v>
      </c>
      <c r="G116" s="5" t="s">
        <v>163</v>
      </c>
      <c r="H116" s="5" t="s">
        <v>29</v>
      </c>
    </row>
    <row r="117" spans="2:8">
      <c r="B117" s="67" t="s">
        <v>74</v>
      </c>
      <c r="C117" s="163"/>
      <c r="D117" s="26" t="s">
        <v>32</v>
      </c>
      <c r="E117" s="4">
        <v>0</v>
      </c>
      <c r="F117" s="26" t="s">
        <v>32</v>
      </c>
      <c r="G117" s="4" t="s">
        <v>32</v>
      </c>
      <c r="H117" s="4" t="s">
        <v>32</v>
      </c>
    </row>
    <row r="118" spans="2:8" ht="45">
      <c r="B118" s="157" t="s">
        <v>160</v>
      </c>
      <c r="C118" s="163"/>
      <c r="D118" s="13" t="s">
        <v>256</v>
      </c>
      <c r="E118" s="4">
        <v>1138</v>
      </c>
      <c r="F118" s="13" t="s">
        <v>257</v>
      </c>
      <c r="G118" s="77" t="s">
        <v>258</v>
      </c>
      <c r="H118" s="5" t="s">
        <v>29</v>
      </c>
    </row>
    <row r="119" spans="2:8" ht="45">
      <c r="B119" s="158"/>
      <c r="C119" s="163"/>
      <c r="D119" s="13" t="s">
        <v>259</v>
      </c>
      <c r="E119" s="4">
        <v>1138</v>
      </c>
      <c r="F119" s="13" t="s">
        <v>260</v>
      </c>
      <c r="G119" s="77" t="s">
        <v>258</v>
      </c>
      <c r="H119" s="5" t="s">
        <v>29</v>
      </c>
    </row>
    <row r="120" spans="2:8" ht="45">
      <c r="B120" s="159"/>
      <c r="C120" s="163"/>
      <c r="D120" s="13" t="s">
        <v>261</v>
      </c>
      <c r="E120" s="4">
        <v>140000</v>
      </c>
      <c r="F120" s="13" t="s">
        <v>262</v>
      </c>
      <c r="G120" s="5" t="s">
        <v>163</v>
      </c>
      <c r="H120" s="5" t="s">
        <v>29</v>
      </c>
    </row>
    <row r="121" spans="2:8" ht="45">
      <c r="B121" s="84" t="s">
        <v>308</v>
      </c>
      <c r="C121" s="163"/>
      <c r="D121" s="13" t="s">
        <v>330</v>
      </c>
      <c r="E121" s="4">
        <v>12250</v>
      </c>
      <c r="F121" s="13" t="s">
        <v>331</v>
      </c>
      <c r="G121" s="5" t="s">
        <v>163</v>
      </c>
      <c r="H121" s="5" t="s">
        <v>29</v>
      </c>
    </row>
    <row r="122" spans="2:8" ht="45">
      <c r="B122" s="88" t="s">
        <v>373</v>
      </c>
      <c r="C122" s="163"/>
      <c r="D122" s="104" t="s">
        <v>408</v>
      </c>
      <c r="E122" s="4">
        <v>1050</v>
      </c>
      <c r="F122" s="13" t="s">
        <v>409</v>
      </c>
      <c r="G122" s="90" t="s">
        <v>410</v>
      </c>
      <c r="H122" s="5" t="s">
        <v>29</v>
      </c>
    </row>
    <row r="123" spans="2:8" ht="45">
      <c r="B123" s="111" t="s">
        <v>438</v>
      </c>
      <c r="C123" s="163"/>
      <c r="D123" s="13" t="s">
        <v>497</v>
      </c>
      <c r="E123" s="4">
        <v>140000</v>
      </c>
      <c r="F123" s="13" t="s">
        <v>498</v>
      </c>
      <c r="G123" s="5" t="s">
        <v>163</v>
      </c>
      <c r="H123" s="5" t="s">
        <v>29</v>
      </c>
    </row>
    <row r="124" spans="2:8" ht="45">
      <c r="B124" s="21" t="s">
        <v>540</v>
      </c>
      <c r="C124" s="163"/>
      <c r="D124" s="16" t="s">
        <v>330</v>
      </c>
      <c r="E124" s="4">
        <v>12373</v>
      </c>
      <c r="F124" s="13" t="s">
        <v>562</v>
      </c>
      <c r="G124" s="5" t="s">
        <v>163</v>
      </c>
      <c r="H124" s="5" t="s">
        <v>29</v>
      </c>
    </row>
    <row r="125" spans="2:8">
      <c r="B125" s="21" t="s">
        <v>597</v>
      </c>
      <c r="C125" s="163"/>
      <c r="D125" s="26" t="s">
        <v>32</v>
      </c>
      <c r="E125" s="4">
        <v>0</v>
      </c>
      <c r="F125" s="26" t="s">
        <v>32</v>
      </c>
      <c r="G125" s="4" t="s">
        <v>32</v>
      </c>
      <c r="H125" s="4" t="s">
        <v>32</v>
      </c>
    </row>
    <row r="126" spans="2:8" ht="45">
      <c r="B126" s="42" t="s">
        <v>650</v>
      </c>
      <c r="C126" s="163"/>
      <c r="D126" s="13" t="s">
        <v>741</v>
      </c>
      <c r="E126" s="4">
        <v>140000</v>
      </c>
      <c r="F126" s="13" t="s">
        <v>742</v>
      </c>
      <c r="G126" s="5" t="s">
        <v>163</v>
      </c>
      <c r="H126" s="5" t="s">
        <v>29</v>
      </c>
    </row>
    <row r="127" spans="2:8" ht="60">
      <c r="B127" s="123" t="s">
        <v>770</v>
      </c>
      <c r="C127" s="163"/>
      <c r="D127" s="13" t="s">
        <v>816</v>
      </c>
      <c r="E127" s="4">
        <v>12250</v>
      </c>
      <c r="F127" s="13" t="s">
        <v>817</v>
      </c>
      <c r="G127" s="5" t="s">
        <v>163</v>
      </c>
      <c r="H127" s="5" t="s">
        <v>29</v>
      </c>
    </row>
    <row r="128" spans="2:8">
      <c r="B128" s="23"/>
      <c r="C128" s="163"/>
      <c r="D128" s="13"/>
      <c r="E128" s="4"/>
      <c r="F128" s="13"/>
      <c r="G128" s="5"/>
      <c r="H128" s="5"/>
    </row>
    <row r="129" spans="2:8">
      <c r="B129" s="58"/>
      <c r="C129" s="163"/>
      <c r="D129" s="13"/>
      <c r="E129" s="4"/>
      <c r="F129" s="13"/>
      <c r="G129" s="5"/>
      <c r="H129" s="5"/>
    </row>
    <row r="130" spans="2:8">
      <c r="B130" s="42"/>
      <c r="C130" s="164"/>
      <c r="D130" s="13"/>
      <c r="E130" s="4"/>
      <c r="F130" s="13"/>
      <c r="G130" s="5"/>
      <c r="H130" s="5"/>
    </row>
    <row r="131" spans="2:8" ht="15.75" customHeight="1">
      <c r="B131" s="168" t="s">
        <v>33</v>
      </c>
      <c r="C131" s="169"/>
      <c r="D131" s="12"/>
      <c r="E131" s="5">
        <f>SUM(E115:E130)</f>
        <v>477700</v>
      </c>
      <c r="F131" s="12"/>
      <c r="G131" s="15"/>
      <c r="H131" s="10"/>
    </row>
    <row r="132" spans="2:8" ht="15" customHeight="1">
      <c r="B132" s="9" t="s">
        <v>43</v>
      </c>
      <c r="C132" s="162" t="s">
        <v>23</v>
      </c>
      <c r="D132" s="4" t="s">
        <v>32</v>
      </c>
      <c r="E132" s="4">
        <v>0</v>
      </c>
      <c r="F132" s="4" t="s">
        <v>32</v>
      </c>
      <c r="G132" s="4" t="s">
        <v>32</v>
      </c>
      <c r="H132" s="4" t="s">
        <v>32</v>
      </c>
    </row>
    <row r="133" spans="2:8" ht="45">
      <c r="B133" s="9" t="s">
        <v>74</v>
      </c>
      <c r="C133" s="163"/>
      <c r="D133" s="13" t="s">
        <v>113</v>
      </c>
      <c r="E133" s="4">
        <v>75000</v>
      </c>
      <c r="F133" s="13" t="s">
        <v>114</v>
      </c>
      <c r="G133" s="5" t="s">
        <v>163</v>
      </c>
      <c r="H133" s="5" t="s">
        <v>29</v>
      </c>
    </row>
    <row r="134" spans="2:8" ht="45">
      <c r="B134" s="157" t="s">
        <v>160</v>
      </c>
      <c r="C134" s="163"/>
      <c r="D134" s="16" t="s">
        <v>263</v>
      </c>
      <c r="E134" s="4">
        <v>3750</v>
      </c>
      <c r="F134" s="13" t="s">
        <v>264</v>
      </c>
      <c r="G134" s="77" t="s">
        <v>163</v>
      </c>
      <c r="H134" s="5" t="s">
        <v>29</v>
      </c>
    </row>
    <row r="135" spans="2:8" ht="45">
      <c r="B135" s="158"/>
      <c r="C135" s="163"/>
      <c r="D135" s="13" t="s">
        <v>265</v>
      </c>
      <c r="E135" s="4">
        <v>157594</v>
      </c>
      <c r="F135" s="13" t="s">
        <v>266</v>
      </c>
      <c r="G135" s="77" t="s">
        <v>163</v>
      </c>
      <c r="H135" s="5" t="s">
        <v>29</v>
      </c>
    </row>
    <row r="136" spans="2:8" ht="45">
      <c r="B136" s="159"/>
      <c r="C136" s="163"/>
      <c r="D136" s="13" t="s">
        <v>267</v>
      </c>
      <c r="E136" s="4">
        <v>32082</v>
      </c>
      <c r="F136" s="13" t="s">
        <v>268</v>
      </c>
      <c r="G136" s="77" t="s">
        <v>163</v>
      </c>
      <c r="H136" s="5" t="s">
        <v>29</v>
      </c>
    </row>
    <row r="137" spans="2:8" ht="45">
      <c r="B137" s="157" t="s">
        <v>308</v>
      </c>
      <c r="C137" s="163"/>
      <c r="D137" s="13" t="s">
        <v>332</v>
      </c>
      <c r="E137" s="4">
        <v>2000</v>
      </c>
      <c r="F137" s="13" t="s">
        <v>333</v>
      </c>
      <c r="G137" s="82" t="s">
        <v>334</v>
      </c>
      <c r="H137" s="5" t="s">
        <v>335</v>
      </c>
    </row>
    <row r="138" spans="2:8" ht="45">
      <c r="B138" s="159"/>
      <c r="C138" s="163"/>
      <c r="D138" s="13" t="s">
        <v>332</v>
      </c>
      <c r="E138" s="4">
        <v>2000</v>
      </c>
      <c r="F138" s="13" t="s">
        <v>336</v>
      </c>
      <c r="G138" s="82" t="s">
        <v>334</v>
      </c>
      <c r="H138" s="5" t="s">
        <v>335</v>
      </c>
    </row>
    <row r="139" spans="2:8" ht="45">
      <c r="B139" s="21" t="s">
        <v>373</v>
      </c>
      <c r="C139" s="163"/>
      <c r="D139" s="12" t="s">
        <v>411</v>
      </c>
      <c r="E139" s="4">
        <v>75000</v>
      </c>
      <c r="F139" s="13" t="s">
        <v>412</v>
      </c>
      <c r="G139" s="90" t="s">
        <v>163</v>
      </c>
      <c r="H139" s="5" t="s">
        <v>29</v>
      </c>
    </row>
    <row r="140" spans="2:8" ht="45">
      <c r="B140" s="157" t="s">
        <v>438</v>
      </c>
      <c r="C140" s="163"/>
      <c r="D140" s="12" t="s">
        <v>499</v>
      </c>
      <c r="E140" s="4">
        <v>10000</v>
      </c>
      <c r="F140" s="13" t="s">
        <v>500</v>
      </c>
      <c r="G140" s="26" t="s">
        <v>501</v>
      </c>
      <c r="H140" s="5" t="s">
        <v>502</v>
      </c>
    </row>
    <row r="141" spans="2:8" ht="45">
      <c r="B141" s="158"/>
      <c r="C141" s="163"/>
      <c r="D141" s="12" t="s">
        <v>503</v>
      </c>
      <c r="E141" s="4">
        <v>3863</v>
      </c>
      <c r="F141" s="13" t="s">
        <v>504</v>
      </c>
      <c r="G141" s="114" t="s">
        <v>163</v>
      </c>
      <c r="H141" s="5" t="s">
        <v>29</v>
      </c>
    </row>
    <row r="142" spans="2:8" ht="45">
      <c r="B142" s="158"/>
      <c r="C142" s="163"/>
      <c r="D142" s="12" t="s">
        <v>505</v>
      </c>
      <c r="E142" s="4">
        <v>154519</v>
      </c>
      <c r="F142" s="13" t="s">
        <v>506</v>
      </c>
      <c r="G142" s="114" t="s">
        <v>163</v>
      </c>
      <c r="H142" s="5" t="s">
        <v>29</v>
      </c>
    </row>
    <row r="143" spans="2:8" ht="45">
      <c r="B143" s="159"/>
      <c r="C143" s="163"/>
      <c r="D143" s="13" t="s">
        <v>507</v>
      </c>
      <c r="E143" s="4">
        <v>12833</v>
      </c>
      <c r="F143" s="13" t="s">
        <v>508</v>
      </c>
      <c r="G143" s="114" t="s">
        <v>509</v>
      </c>
      <c r="H143" s="5" t="s">
        <v>29</v>
      </c>
    </row>
    <row r="144" spans="2:8">
      <c r="B144" s="21" t="s">
        <v>540</v>
      </c>
      <c r="C144" s="163"/>
      <c r="D144" s="125" t="s">
        <v>32</v>
      </c>
      <c r="E144" s="4">
        <v>0</v>
      </c>
      <c r="F144" s="26" t="s">
        <v>32</v>
      </c>
      <c r="G144" s="4" t="s">
        <v>32</v>
      </c>
      <c r="H144" s="4" t="s">
        <v>32</v>
      </c>
    </row>
    <row r="145" spans="2:8" ht="45">
      <c r="B145" s="21" t="s">
        <v>597</v>
      </c>
      <c r="C145" s="163"/>
      <c r="D145" s="32" t="s">
        <v>622</v>
      </c>
      <c r="E145" s="4">
        <v>82500</v>
      </c>
      <c r="F145" s="13" t="s">
        <v>623</v>
      </c>
      <c r="G145" s="129" t="s">
        <v>163</v>
      </c>
      <c r="H145" s="5" t="s">
        <v>29</v>
      </c>
    </row>
    <row r="146" spans="2:8" ht="45">
      <c r="B146" s="21" t="s">
        <v>650</v>
      </c>
      <c r="C146" s="163"/>
      <c r="D146" s="32" t="s">
        <v>743</v>
      </c>
      <c r="E146" s="4">
        <v>38063</v>
      </c>
      <c r="F146" s="13" t="s">
        <v>744</v>
      </c>
      <c r="G146" s="137" t="s">
        <v>163</v>
      </c>
      <c r="H146" s="5" t="s">
        <v>29</v>
      </c>
    </row>
    <row r="147" spans="2:8" ht="75">
      <c r="B147" s="174" t="s">
        <v>770</v>
      </c>
      <c r="C147" s="163"/>
      <c r="D147" s="32" t="s">
        <v>818</v>
      </c>
      <c r="E147" s="4">
        <v>8750</v>
      </c>
      <c r="F147" s="13" t="s">
        <v>819</v>
      </c>
      <c r="G147" s="142" t="s">
        <v>163</v>
      </c>
      <c r="H147" s="5" t="s">
        <v>29</v>
      </c>
    </row>
    <row r="148" spans="2:8" ht="45">
      <c r="B148" s="178"/>
      <c r="C148" s="163"/>
      <c r="D148" s="32" t="s">
        <v>820</v>
      </c>
      <c r="E148" s="4">
        <v>40257</v>
      </c>
      <c r="F148" s="13" t="s">
        <v>821</v>
      </c>
      <c r="G148" s="142" t="s">
        <v>822</v>
      </c>
      <c r="H148" s="5" t="s">
        <v>29</v>
      </c>
    </row>
    <row r="149" spans="2:8" ht="15.75" customHeight="1">
      <c r="B149" s="60"/>
      <c r="C149" s="163"/>
      <c r="D149" s="55"/>
      <c r="E149" s="4"/>
      <c r="F149" s="26"/>
      <c r="G149" s="4"/>
      <c r="H149" s="4"/>
    </row>
    <row r="150" spans="2:8">
      <c r="B150" s="174"/>
      <c r="C150" s="163"/>
      <c r="D150" s="57"/>
      <c r="E150" s="4"/>
      <c r="F150" s="13"/>
      <c r="G150" s="5"/>
      <c r="H150" s="5"/>
    </row>
    <row r="151" spans="2:8">
      <c r="B151" s="175"/>
      <c r="C151" s="163"/>
      <c r="D151" s="57"/>
      <c r="E151" s="4"/>
      <c r="F151" s="13"/>
      <c r="G151" s="5"/>
      <c r="H151" s="5"/>
    </row>
    <row r="152" spans="2:8">
      <c r="B152" s="178"/>
      <c r="C152" s="163"/>
      <c r="D152" s="57"/>
      <c r="E152" s="4"/>
      <c r="F152" s="13"/>
      <c r="G152" s="53"/>
      <c r="H152" s="5"/>
    </row>
    <row r="153" spans="2:8">
      <c r="B153" s="165"/>
      <c r="C153" s="163"/>
      <c r="D153" s="57"/>
      <c r="E153" s="4"/>
      <c r="F153" s="13"/>
      <c r="G153" s="4"/>
      <c r="H153" s="5"/>
    </row>
    <row r="154" spans="2:8">
      <c r="B154" s="165"/>
      <c r="C154" s="163"/>
      <c r="D154" s="57"/>
      <c r="E154" s="4"/>
      <c r="F154" s="13"/>
      <c r="G154" s="5"/>
      <c r="H154" s="5"/>
    </row>
    <row r="155" spans="2:8">
      <c r="B155" s="165"/>
      <c r="C155" s="164"/>
      <c r="D155" s="56"/>
      <c r="E155" s="4"/>
      <c r="F155" s="13"/>
      <c r="G155" s="5"/>
      <c r="H155" s="5"/>
    </row>
    <row r="156" spans="2:8">
      <c r="B156" s="160" t="s">
        <v>33</v>
      </c>
      <c r="C156" s="161"/>
      <c r="D156" s="10"/>
      <c r="E156" s="14">
        <f>SUM(E132:E155)</f>
        <v>698211</v>
      </c>
      <c r="F156" s="10"/>
      <c r="G156" s="10"/>
      <c r="H156" s="10"/>
    </row>
    <row r="157" spans="2:8">
      <c r="B157" s="21" t="s">
        <v>43</v>
      </c>
      <c r="C157" s="179" t="s">
        <v>24</v>
      </c>
      <c r="D157" s="4" t="s">
        <v>32</v>
      </c>
      <c r="E157" s="4">
        <v>0</v>
      </c>
      <c r="F157" s="4" t="s">
        <v>32</v>
      </c>
      <c r="G157" s="4" t="s">
        <v>32</v>
      </c>
      <c r="H157" s="4" t="s">
        <v>32</v>
      </c>
    </row>
    <row r="158" spans="2:8">
      <c r="B158" s="21" t="s">
        <v>74</v>
      </c>
      <c r="C158" s="180"/>
      <c r="D158" s="4" t="s">
        <v>32</v>
      </c>
      <c r="E158" s="4">
        <v>0</v>
      </c>
      <c r="F158" s="4" t="s">
        <v>32</v>
      </c>
      <c r="G158" s="4" t="s">
        <v>32</v>
      </c>
      <c r="H158" s="4" t="s">
        <v>32</v>
      </c>
    </row>
    <row r="159" spans="2:8">
      <c r="B159" s="21" t="s">
        <v>160</v>
      </c>
      <c r="C159" s="180"/>
      <c r="D159" s="4" t="s">
        <v>32</v>
      </c>
      <c r="E159" s="4">
        <v>0</v>
      </c>
      <c r="F159" s="4" t="s">
        <v>32</v>
      </c>
      <c r="G159" s="4" t="s">
        <v>32</v>
      </c>
      <c r="H159" s="4" t="s">
        <v>32</v>
      </c>
    </row>
    <row r="160" spans="2:8">
      <c r="B160" s="21" t="s">
        <v>308</v>
      </c>
      <c r="C160" s="180"/>
      <c r="D160" s="4" t="s">
        <v>32</v>
      </c>
      <c r="E160" s="4">
        <v>0</v>
      </c>
      <c r="F160" s="4" t="s">
        <v>32</v>
      </c>
      <c r="G160" s="4" t="s">
        <v>32</v>
      </c>
      <c r="H160" s="4" t="s">
        <v>32</v>
      </c>
    </row>
    <row r="161" spans="2:8">
      <c r="B161" s="21" t="s">
        <v>373</v>
      </c>
      <c r="C161" s="180"/>
      <c r="D161" s="4" t="s">
        <v>32</v>
      </c>
      <c r="E161" s="4">
        <v>0</v>
      </c>
      <c r="F161" s="4" t="s">
        <v>32</v>
      </c>
      <c r="G161" s="4" t="s">
        <v>32</v>
      </c>
      <c r="H161" s="4" t="s">
        <v>32</v>
      </c>
    </row>
    <row r="162" spans="2:8" ht="15.75" customHeight="1">
      <c r="B162" s="21" t="s">
        <v>438</v>
      </c>
      <c r="C162" s="180"/>
      <c r="D162" s="4" t="s">
        <v>32</v>
      </c>
      <c r="E162" s="4">
        <v>0</v>
      </c>
      <c r="F162" s="4" t="s">
        <v>32</v>
      </c>
      <c r="G162" s="4" t="s">
        <v>32</v>
      </c>
      <c r="H162" s="4" t="s">
        <v>32</v>
      </c>
    </row>
    <row r="163" spans="2:8" ht="15.75" customHeight="1">
      <c r="B163" s="21" t="s">
        <v>540</v>
      </c>
      <c r="C163" s="180"/>
      <c r="D163" s="4" t="s">
        <v>32</v>
      </c>
      <c r="E163" s="4">
        <v>0</v>
      </c>
      <c r="F163" s="4" t="s">
        <v>32</v>
      </c>
      <c r="G163" s="4" t="s">
        <v>32</v>
      </c>
      <c r="H163" s="4" t="s">
        <v>32</v>
      </c>
    </row>
    <row r="164" spans="2:8" ht="15.75" customHeight="1">
      <c r="B164" s="21" t="s">
        <v>597</v>
      </c>
      <c r="C164" s="180"/>
      <c r="D164" s="4" t="s">
        <v>32</v>
      </c>
      <c r="E164" s="4">
        <v>0</v>
      </c>
      <c r="F164" s="4" t="s">
        <v>32</v>
      </c>
      <c r="G164" s="4" t="s">
        <v>32</v>
      </c>
      <c r="H164" s="4" t="s">
        <v>32</v>
      </c>
    </row>
    <row r="165" spans="2:8" ht="15.75" customHeight="1">
      <c r="B165" s="21" t="s">
        <v>650</v>
      </c>
      <c r="C165" s="180"/>
      <c r="D165" s="4" t="s">
        <v>32</v>
      </c>
      <c r="E165" s="4">
        <v>0</v>
      </c>
      <c r="F165" s="4" t="s">
        <v>32</v>
      </c>
      <c r="G165" s="4" t="s">
        <v>32</v>
      </c>
      <c r="H165" s="4" t="s">
        <v>32</v>
      </c>
    </row>
    <row r="166" spans="2:8">
      <c r="B166" s="21" t="s">
        <v>770</v>
      </c>
      <c r="C166" s="180"/>
      <c r="D166" s="26" t="s">
        <v>32</v>
      </c>
      <c r="E166" s="4">
        <v>0</v>
      </c>
      <c r="F166" s="26" t="s">
        <v>32</v>
      </c>
      <c r="G166" s="4" t="s">
        <v>32</v>
      </c>
      <c r="H166" s="4" t="s">
        <v>32</v>
      </c>
    </row>
    <row r="167" spans="2:8" ht="15.75" customHeight="1">
      <c r="B167" s="21"/>
      <c r="C167" s="180"/>
      <c r="D167" s="4"/>
      <c r="E167" s="4"/>
      <c r="F167" s="4"/>
      <c r="G167" s="4"/>
      <c r="H167" s="4"/>
    </row>
    <row r="168" spans="2:8" ht="15.75" customHeight="1">
      <c r="B168" s="21"/>
      <c r="C168" s="181"/>
      <c r="D168" s="4"/>
      <c r="E168" s="4"/>
      <c r="F168" s="4"/>
      <c r="G168" s="4"/>
      <c r="H168" s="4"/>
    </row>
    <row r="169" spans="2:8" ht="15.75" customHeight="1">
      <c r="B169" s="166" t="s">
        <v>33</v>
      </c>
      <c r="C169" s="167"/>
      <c r="D169" s="16"/>
      <c r="E169" s="38">
        <f>SUM(E157:E168)</f>
        <v>0</v>
      </c>
      <c r="F169" s="13"/>
      <c r="G169" s="4"/>
      <c r="H169" s="5"/>
    </row>
    <row r="170" spans="2:8">
      <c r="B170" s="160" t="s">
        <v>34</v>
      </c>
      <c r="C170" s="161"/>
      <c r="D170" s="10"/>
      <c r="E170" s="37">
        <f>(E101+E114+E131+E156+E169)</f>
        <v>5558420</v>
      </c>
      <c r="F170" s="10"/>
      <c r="G170" s="10"/>
      <c r="H170" s="10"/>
    </row>
  </sheetData>
  <mergeCells count="36">
    <mergeCell ref="G3:G4"/>
    <mergeCell ref="H3:H4"/>
    <mergeCell ref="B3:B4"/>
    <mergeCell ref="C3:C4"/>
    <mergeCell ref="D3:D4"/>
    <mergeCell ref="E3:E4"/>
    <mergeCell ref="F3:F4"/>
    <mergeCell ref="B170:C170"/>
    <mergeCell ref="B169:C169"/>
    <mergeCell ref="B131:C131"/>
    <mergeCell ref="B156:C156"/>
    <mergeCell ref="C157:C168"/>
    <mergeCell ref="B134:B136"/>
    <mergeCell ref="B150:B152"/>
    <mergeCell ref="B137:B138"/>
    <mergeCell ref="B115:B116"/>
    <mergeCell ref="B118:B120"/>
    <mergeCell ref="B140:B143"/>
    <mergeCell ref="B153:B155"/>
    <mergeCell ref="C132:C155"/>
    <mergeCell ref="C115:C130"/>
    <mergeCell ref="B147:B148"/>
    <mergeCell ref="B72:B94"/>
    <mergeCell ref="B101:C101"/>
    <mergeCell ref="B114:C114"/>
    <mergeCell ref="C102:C113"/>
    <mergeCell ref="B5:B6"/>
    <mergeCell ref="B7:B14"/>
    <mergeCell ref="B15:B35"/>
    <mergeCell ref="B36:B37"/>
    <mergeCell ref="B38:B44"/>
    <mergeCell ref="B69:B71"/>
    <mergeCell ref="B45:B66"/>
    <mergeCell ref="B67:B68"/>
    <mergeCell ref="B95:B99"/>
    <mergeCell ref="C5:C99"/>
  </mergeCells>
  <pageMargins left="0.7" right="0.7" top="0.75" bottom="0.75" header="0.3" footer="0.3"/>
  <pageSetup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H122"/>
  <sheetViews>
    <sheetView zoomScaleSheetLayoutView="90" workbookViewId="0">
      <selection activeCell="E104" sqref="E104"/>
    </sheetView>
  </sheetViews>
  <sheetFormatPr defaultRowHeight="15"/>
  <cols>
    <col min="1" max="1" width="9.140625" style="1"/>
    <col min="2" max="2" width="10.5703125" style="1" customWidth="1"/>
    <col min="3" max="3" width="13" style="1" customWidth="1"/>
    <col min="4" max="4" width="23.140625" style="1" customWidth="1"/>
    <col min="5" max="5" width="20.28515625" style="1" customWidth="1"/>
    <col min="6" max="6" width="19.42578125" style="1" customWidth="1"/>
    <col min="7" max="7" width="12.85546875" style="1" customWidth="1"/>
    <col min="8" max="8" width="13.85546875" style="1" customWidth="1"/>
    <col min="9" max="16384" width="9.140625" style="1"/>
  </cols>
  <sheetData>
    <row r="1" spans="2:8">
      <c r="B1" s="2" t="s">
        <v>6</v>
      </c>
    </row>
    <row r="2" spans="2:8">
      <c r="B2" s="2" t="s">
        <v>2</v>
      </c>
    </row>
    <row r="3" spans="2:8" ht="15.75" customHeight="1">
      <c r="B3" s="172" t="s">
        <v>14</v>
      </c>
      <c r="C3" s="171" t="s">
        <v>8</v>
      </c>
      <c r="D3" s="172" t="s">
        <v>0</v>
      </c>
      <c r="E3" s="171" t="s">
        <v>28</v>
      </c>
      <c r="F3" s="172" t="s">
        <v>26</v>
      </c>
      <c r="G3" s="173" t="s">
        <v>27</v>
      </c>
      <c r="H3" s="170" t="s">
        <v>1</v>
      </c>
    </row>
    <row r="4" spans="2:8" ht="15" customHeight="1">
      <c r="B4" s="172"/>
      <c r="C4" s="171"/>
      <c r="D4" s="172"/>
      <c r="E4" s="171"/>
      <c r="F4" s="172"/>
      <c r="G4" s="173"/>
      <c r="H4" s="170"/>
    </row>
    <row r="5" spans="2:8" ht="15" customHeight="1">
      <c r="B5" s="63" t="s">
        <v>43</v>
      </c>
      <c r="C5" s="162" t="s">
        <v>17</v>
      </c>
      <c r="D5" s="4" t="s">
        <v>32</v>
      </c>
      <c r="E5" s="4">
        <v>0</v>
      </c>
      <c r="F5" s="4" t="s">
        <v>32</v>
      </c>
      <c r="G5" s="4" t="s">
        <v>32</v>
      </c>
      <c r="H5" s="4" t="s">
        <v>32</v>
      </c>
    </row>
    <row r="6" spans="2:8" ht="60">
      <c r="B6" s="157" t="s">
        <v>74</v>
      </c>
      <c r="C6" s="163"/>
      <c r="D6" s="48" t="s">
        <v>78</v>
      </c>
      <c r="E6" s="41">
        <v>129280</v>
      </c>
      <c r="F6" s="13"/>
      <c r="G6" s="40" t="s">
        <v>163</v>
      </c>
      <c r="H6" s="40" t="s">
        <v>29</v>
      </c>
    </row>
    <row r="7" spans="2:8" ht="45">
      <c r="B7" s="159"/>
      <c r="C7" s="163"/>
      <c r="D7" s="20" t="s">
        <v>80</v>
      </c>
      <c r="E7" s="4">
        <v>85175</v>
      </c>
      <c r="F7" s="13" t="s">
        <v>81</v>
      </c>
      <c r="G7" s="5" t="s">
        <v>163</v>
      </c>
      <c r="H7" s="5" t="s">
        <v>29</v>
      </c>
    </row>
    <row r="8" spans="2:8" ht="45">
      <c r="B8" s="157" t="s">
        <v>160</v>
      </c>
      <c r="C8" s="163"/>
      <c r="D8" s="48" t="s">
        <v>186</v>
      </c>
      <c r="E8" s="4">
        <v>310196</v>
      </c>
      <c r="F8" s="13" t="s">
        <v>187</v>
      </c>
      <c r="G8" s="5" t="s">
        <v>163</v>
      </c>
      <c r="H8" s="5" t="s">
        <v>29</v>
      </c>
    </row>
    <row r="9" spans="2:8" ht="60">
      <c r="B9" s="158"/>
      <c r="C9" s="163"/>
      <c r="D9" s="20" t="s">
        <v>191</v>
      </c>
      <c r="E9" s="4">
        <v>7250</v>
      </c>
      <c r="F9" s="13" t="s">
        <v>192</v>
      </c>
      <c r="G9" s="5" t="s">
        <v>163</v>
      </c>
      <c r="H9" s="5" t="s">
        <v>29</v>
      </c>
    </row>
    <row r="10" spans="2:8" ht="60">
      <c r="B10" s="158"/>
      <c r="C10" s="163"/>
      <c r="D10" s="20" t="s">
        <v>193</v>
      </c>
      <c r="E10" s="4">
        <v>7250</v>
      </c>
      <c r="F10" s="13" t="s">
        <v>194</v>
      </c>
      <c r="G10" s="5" t="s">
        <v>163</v>
      </c>
      <c r="H10" s="5" t="s">
        <v>29</v>
      </c>
    </row>
    <row r="11" spans="2:8" ht="60">
      <c r="B11" s="158"/>
      <c r="C11" s="163"/>
      <c r="D11" s="20" t="s">
        <v>195</v>
      </c>
      <c r="E11" s="4">
        <v>7250</v>
      </c>
      <c r="F11" s="13" t="s">
        <v>196</v>
      </c>
      <c r="G11" s="5" t="s">
        <v>163</v>
      </c>
      <c r="H11" s="5" t="s">
        <v>29</v>
      </c>
    </row>
    <row r="12" spans="2:8" ht="60">
      <c r="B12" s="158"/>
      <c r="C12" s="163"/>
      <c r="D12" s="20" t="s">
        <v>197</v>
      </c>
      <c r="E12" s="4">
        <v>7250</v>
      </c>
      <c r="F12" s="13" t="s">
        <v>198</v>
      </c>
      <c r="G12" s="5" t="s">
        <v>163</v>
      </c>
      <c r="H12" s="5" t="s">
        <v>29</v>
      </c>
    </row>
    <row r="13" spans="2:8" ht="60">
      <c r="B13" s="158"/>
      <c r="C13" s="163"/>
      <c r="D13" s="20" t="s">
        <v>199</v>
      </c>
      <c r="E13" s="4">
        <v>7250</v>
      </c>
      <c r="F13" s="13" t="s">
        <v>200</v>
      </c>
      <c r="G13" s="5" t="s">
        <v>163</v>
      </c>
      <c r="H13" s="5" t="s">
        <v>29</v>
      </c>
    </row>
    <row r="14" spans="2:8" ht="60">
      <c r="B14" s="159"/>
      <c r="C14" s="163"/>
      <c r="D14" s="20" t="s">
        <v>201</v>
      </c>
      <c r="E14" s="4">
        <v>12000</v>
      </c>
      <c r="F14" s="13" t="s">
        <v>202</v>
      </c>
      <c r="G14" s="5" t="s">
        <v>163</v>
      </c>
      <c r="H14" s="5" t="s">
        <v>29</v>
      </c>
    </row>
    <row r="15" spans="2:8" ht="150">
      <c r="B15" s="21" t="s">
        <v>308</v>
      </c>
      <c r="C15" s="163"/>
      <c r="D15" s="99" t="s">
        <v>316</v>
      </c>
      <c r="E15" s="4">
        <v>56931</v>
      </c>
      <c r="F15" s="13" t="s">
        <v>317</v>
      </c>
      <c r="G15" s="5" t="s">
        <v>163</v>
      </c>
      <c r="H15" s="5" t="s">
        <v>29</v>
      </c>
    </row>
    <row r="16" spans="2:8" ht="75">
      <c r="B16" s="21" t="s">
        <v>373</v>
      </c>
      <c r="C16" s="163"/>
      <c r="D16" s="96" t="s">
        <v>385</v>
      </c>
      <c r="E16" s="93">
        <v>131840</v>
      </c>
      <c r="F16" s="26"/>
      <c r="G16" s="5" t="s">
        <v>163</v>
      </c>
      <c r="H16" s="5" t="s">
        <v>29</v>
      </c>
    </row>
    <row r="17" spans="2:8" ht="45">
      <c r="B17" s="165" t="s">
        <v>438</v>
      </c>
      <c r="C17" s="163"/>
      <c r="D17" s="100" t="s">
        <v>511</v>
      </c>
      <c r="E17" s="4">
        <v>175000</v>
      </c>
      <c r="F17" s="13" t="s">
        <v>512</v>
      </c>
      <c r="G17" s="5" t="s">
        <v>163</v>
      </c>
      <c r="H17" s="5" t="s">
        <v>29</v>
      </c>
    </row>
    <row r="18" spans="2:8" ht="60">
      <c r="B18" s="165"/>
      <c r="C18" s="163"/>
      <c r="D18" s="13" t="s">
        <v>513</v>
      </c>
      <c r="E18" s="4">
        <v>307125</v>
      </c>
      <c r="F18" s="13" t="s">
        <v>514</v>
      </c>
      <c r="G18" s="5" t="s">
        <v>163</v>
      </c>
      <c r="H18" s="5" t="s">
        <v>29</v>
      </c>
    </row>
    <row r="19" spans="2:8" ht="60">
      <c r="B19" s="165"/>
      <c r="C19" s="163"/>
      <c r="D19" s="48" t="s">
        <v>191</v>
      </c>
      <c r="E19" s="4">
        <v>7250</v>
      </c>
      <c r="F19" s="13" t="s">
        <v>516</v>
      </c>
      <c r="G19" s="5" t="s">
        <v>163</v>
      </c>
      <c r="H19" s="5" t="s">
        <v>29</v>
      </c>
    </row>
    <row r="20" spans="2:8" ht="60">
      <c r="B20" s="165"/>
      <c r="C20" s="163"/>
      <c r="D20" s="48" t="s">
        <v>193</v>
      </c>
      <c r="E20" s="4">
        <v>7250</v>
      </c>
      <c r="F20" s="13" t="s">
        <v>517</v>
      </c>
      <c r="G20" s="5" t="s">
        <v>163</v>
      </c>
      <c r="H20" s="5" t="s">
        <v>29</v>
      </c>
    </row>
    <row r="21" spans="2:8" ht="60">
      <c r="B21" s="165"/>
      <c r="C21" s="163"/>
      <c r="D21" s="48" t="s">
        <v>518</v>
      </c>
      <c r="E21" s="4">
        <v>7250</v>
      </c>
      <c r="F21" s="13" t="s">
        <v>519</v>
      </c>
      <c r="G21" s="5" t="s">
        <v>163</v>
      </c>
      <c r="H21" s="5" t="s">
        <v>29</v>
      </c>
    </row>
    <row r="22" spans="2:8" ht="60">
      <c r="B22" s="165"/>
      <c r="C22" s="163"/>
      <c r="D22" s="48" t="s">
        <v>197</v>
      </c>
      <c r="E22" s="4">
        <v>7250</v>
      </c>
      <c r="F22" s="13" t="s">
        <v>520</v>
      </c>
      <c r="G22" s="5" t="s">
        <v>163</v>
      </c>
      <c r="H22" s="5" t="s">
        <v>29</v>
      </c>
    </row>
    <row r="23" spans="2:8" ht="60">
      <c r="B23" s="165"/>
      <c r="C23" s="163"/>
      <c r="D23" s="48" t="s">
        <v>199</v>
      </c>
      <c r="E23" s="4">
        <v>7250</v>
      </c>
      <c r="F23" s="13" t="s">
        <v>521</v>
      </c>
      <c r="G23" s="5" t="s">
        <v>163</v>
      </c>
      <c r="H23" s="5" t="s">
        <v>29</v>
      </c>
    </row>
    <row r="24" spans="2:8" ht="60">
      <c r="B24" s="165"/>
      <c r="C24" s="163"/>
      <c r="D24" s="48" t="s">
        <v>201</v>
      </c>
      <c r="E24" s="4">
        <v>12000</v>
      </c>
      <c r="F24" s="13" t="s">
        <v>522</v>
      </c>
      <c r="G24" s="5" t="s">
        <v>163</v>
      </c>
      <c r="H24" s="5" t="s">
        <v>29</v>
      </c>
    </row>
    <row r="25" spans="2:8" ht="150">
      <c r="B25" s="118" t="s">
        <v>540</v>
      </c>
      <c r="C25" s="163"/>
      <c r="D25" s="99" t="s">
        <v>316</v>
      </c>
      <c r="E25" s="4">
        <v>55555</v>
      </c>
      <c r="F25" s="13" t="s">
        <v>555</v>
      </c>
      <c r="G25" s="5" t="s">
        <v>163</v>
      </c>
      <c r="H25" s="5" t="s">
        <v>29</v>
      </c>
    </row>
    <row r="26" spans="2:8" ht="60">
      <c r="B26" s="157" t="s">
        <v>597</v>
      </c>
      <c r="C26" s="163"/>
      <c r="D26" s="99" t="s">
        <v>604</v>
      </c>
      <c r="E26" s="4">
        <v>17675</v>
      </c>
      <c r="F26" s="13"/>
      <c r="G26" s="5" t="s">
        <v>163</v>
      </c>
      <c r="H26" s="5" t="s">
        <v>29</v>
      </c>
    </row>
    <row r="27" spans="2:8" ht="60">
      <c r="B27" s="158"/>
      <c r="C27" s="163"/>
      <c r="D27" s="99" t="s">
        <v>607</v>
      </c>
      <c r="E27" s="4">
        <v>45625</v>
      </c>
      <c r="F27" s="13" t="s">
        <v>606</v>
      </c>
      <c r="G27" s="5" t="s">
        <v>163</v>
      </c>
      <c r="H27" s="5" t="s">
        <v>29</v>
      </c>
    </row>
    <row r="28" spans="2:8" ht="60">
      <c r="B28" s="159"/>
      <c r="C28" s="163"/>
      <c r="D28" s="99" t="s">
        <v>610</v>
      </c>
      <c r="E28" s="4">
        <v>175000</v>
      </c>
      <c r="F28" s="13" t="s">
        <v>611</v>
      </c>
      <c r="G28" s="5" t="s">
        <v>163</v>
      </c>
      <c r="H28" s="5" t="s">
        <v>29</v>
      </c>
    </row>
    <row r="29" spans="2:8" ht="60">
      <c r="B29" s="157" t="s">
        <v>650</v>
      </c>
      <c r="C29" s="163"/>
      <c r="D29" s="99" t="s">
        <v>667</v>
      </c>
      <c r="E29" s="4">
        <v>65000</v>
      </c>
      <c r="F29" s="13" t="s">
        <v>668</v>
      </c>
      <c r="G29" s="5" t="s">
        <v>163</v>
      </c>
      <c r="H29" s="5" t="s">
        <v>29</v>
      </c>
    </row>
    <row r="30" spans="2:8" ht="60">
      <c r="B30" s="158"/>
      <c r="C30" s="163"/>
      <c r="D30" s="99" t="s">
        <v>669</v>
      </c>
      <c r="E30" s="4">
        <v>307125</v>
      </c>
      <c r="F30" s="13" t="s">
        <v>670</v>
      </c>
      <c r="G30" s="5" t="s">
        <v>163</v>
      </c>
      <c r="H30" s="5" t="s">
        <v>29</v>
      </c>
    </row>
    <row r="31" spans="2:8" ht="60">
      <c r="B31" s="158"/>
      <c r="C31" s="163"/>
      <c r="D31" s="99" t="s">
        <v>680</v>
      </c>
      <c r="E31" s="4">
        <v>7358</v>
      </c>
      <c r="F31" s="13" t="s">
        <v>681</v>
      </c>
      <c r="G31" s="5" t="s">
        <v>163</v>
      </c>
      <c r="H31" s="5" t="s">
        <v>29</v>
      </c>
    </row>
    <row r="32" spans="2:8" ht="60">
      <c r="B32" s="158"/>
      <c r="C32" s="163"/>
      <c r="D32" s="99" t="s">
        <v>682</v>
      </c>
      <c r="E32" s="4">
        <v>7358</v>
      </c>
      <c r="F32" s="13" t="s">
        <v>683</v>
      </c>
      <c r="G32" s="5" t="s">
        <v>163</v>
      </c>
      <c r="H32" s="5" t="s">
        <v>29</v>
      </c>
    </row>
    <row r="33" spans="2:8" ht="60">
      <c r="B33" s="158"/>
      <c r="C33" s="163"/>
      <c r="D33" s="99" t="s">
        <v>684</v>
      </c>
      <c r="E33" s="4">
        <v>7358</v>
      </c>
      <c r="F33" s="13" t="s">
        <v>685</v>
      </c>
      <c r="G33" s="5" t="s">
        <v>163</v>
      </c>
      <c r="H33" s="5" t="s">
        <v>29</v>
      </c>
    </row>
    <row r="34" spans="2:8" ht="60">
      <c r="B34" s="158"/>
      <c r="C34" s="163"/>
      <c r="D34" s="99" t="s">
        <v>686</v>
      </c>
      <c r="E34" s="4">
        <v>7358</v>
      </c>
      <c r="F34" s="13" t="s">
        <v>687</v>
      </c>
      <c r="G34" s="5" t="s">
        <v>163</v>
      </c>
      <c r="H34" s="5" t="s">
        <v>29</v>
      </c>
    </row>
    <row r="35" spans="2:8" ht="60">
      <c r="B35" s="158"/>
      <c r="C35" s="163"/>
      <c r="D35" s="99" t="s">
        <v>688</v>
      </c>
      <c r="E35" s="4">
        <v>7358</v>
      </c>
      <c r="F35" s="13" t="s">
        <v>689</v>
      </c>
      <c r="G35" s="5" t="s">
        <v>163</v>
      </c>
      <c r="H35" s="5" t="s">
        <v>29</v>
      </c>
    </row>
    <row r="36" spans="2:8" ht="60">
      <c r="B36" s="159"/>
      <c r="C36" s="163"/>
      <c r="D36" s="99" t="s">
        <v>690</v>
      </c>
      <c r="E36" s="4">
        <v>12180</v>
      </c>
      <c r="F36" s="13" t="s">
        <v>691</v>
      </c>
      <c r="G36" s="5" t="s">
        <v>163</v>
      </c>
      <c r="H36" s="5" t="s">
        <v>29</v>
      </c>
    </row>
    <row r="37" spans="2:8" ht="60">
      <c r="B37" s="157" t="s">
        <v>770</v>
      </c>
      <c r="C37" s="163"/>
      <c r="D37" s="99" t="s">
        <v>801</v>
      </c>
      <c r="E37" s="4">
        <v>55281</v>
      </c>
      <c r="F37" s="13" t="s">
        <v>800</v>
      </c>
      <c r="G37" s="5" t="s">
        <v>163</v>
      </c>
      <c r="H37" s="5" t="s">
        <v>29</v>
      </c>
    </row>
    <row r="38" spans="2:8" ht="60">
      <c r="B38" s="158"/>
      <c r="C38" s="163"/>
      <c r="D38" s="99" t="s">
        <v>802</v>
      </c>
      <c r="E38" s="4">
        <v>5275</v>
      </c>
      <c r="F38" s="13" t="s">
        <v>803</v>
      </c>
      <c r="G38" s="5" t="s">
        <v>163</v>
      </c>
      <c r="H38" s="5" t="s">
        <v>29</v>
      </c>
    </row>
    <row r="39" spans="2:8" ht="60">
      <c r="B39" s="159"/>
      <c r="C39" s="164"/>
      <c r="D39" s="99" t="s">
        <v>804</v>
      </c>
      <c r="E39" s="4">
        <v>21250</v>
      </c>
      <c r="F39" s="13" t="s">
        <v>805</v>
      </c>
      <c r="G39" s="5" t="s">
        <v>163</v>
      </c>
      <c r="H39" s="5" t="s">
        <v>29</v>
      </c>
    </row>
    <row r="40" spans="2:8" ht="15.75">
      <c r="B40" s="128"/>
      <c r="C40" s="131"/>
      <c r="D40" s="99"/>
      <c r="E40" s="4"/>
      <c r="F40" s="13"/>
      <c r="G40" s="5"/>
      <c r="H40" s="5"/>
    </row>
    <row r="41" spans="2:8" ht="15.75" customHeight="1">
      <c r="B41" s="166" t="s">
        <v>33</v>
      </c>
      <c r="C41" s="167"/>
      <c r="D41" s="19"/>
      <c r="E41" s="38">
        <f>SUM(E5:E39)</f>
        <v>2088803</v>
      </c>
      <c r="F41" s="22"/>
      <c r="G41" s="5"/>
      <c r="H41" s="5"/>
    </row>
    <row r="42" spans="2:8" ht="15" customHeight="1">
      <c r="B42" s="63" t="s">
        <v>43</v>
      </c>
      <c r="C42" s="162" t="s">
        <v>18</v>
      </c>
      <c r="D42" s="4" t="s">
        <v>32</v>
      </c>
      <c r="E42" s="4">
        <v>0</v>
      </c>
      <c r="F42" s="4" t="s">
        <v>32</v>
      </c>
      <c r="G42" s="4" t="s">
        <v>32</v>
      </c>
      <c r="H42" s="4" t="s">
        <v>32</v>
      </c>
    </row>
    <row r="43" spans="2:8" ht="78" customHeight="1">
      <c r="B43" s="21" t="s">
        <v>74</v>
      </c>
      <c r="C43" s="163"/>
      <c r="D43" s="12" t="s">
        <v>90</v>
      </c>
      <c r="E43" s="4">
        <v>529863</v>
      </c>
      <c r="F43" s="13" t="s">
        <v>91</v>
      </c>
      <c r="G43" s="5" t="s">
        <v>163</v>
      </c>
      <c r="H43" s="5" t="s">
        <v>29</v>
      </c>
    </row>
    <row r="44" spans="2:8" ht="15" customHeight="1">
      <c r="B44" s="42" t="s">
        <v>160</v>
      </c>
      <c r="C44" s="163"/>
      <c r="D44" s="4" t="s">
        <v>32</v>
      </c>
      <c r="E44" s="4">
        <v>0</v>
      </c>
      <c r="F44" s="4" t="s">
        <v>32</v>
      </c>
      <c r="G44" s="4" t="s">
        <v>32</v>
      </c>
      <c r="H44" s="4" t="s">
        <v>32</v>
      </c>
    </row>
    <row r="45" spans="2:8" ht="63" customHeight="1">
      <c r="B45" s="83" t="s">
        <v>308</v>
      </c>
      <c r="C45" s="163"/>
      <c r="D45" s="99" t="s">
        <v>318</v>
      </c>
      <c r="E45" s="4">
        <v>648009</v>
      </c>
      <c r="F45" s="22" t="s">
        <v>319</v>
      </c>
      <c r="G45" s="5" t="s">
        <v>163</v>
      </c>
      <c r="H45" s="5" t="s">
        <v>313</v>
      </c>
    </row>
    <row r="46" spans="2:8" ht="105">
      <c r="B46" s="91" t="s">
        <v>373</v>
      </c>
      <c r="C46" s="182"/>
      <c r="D46" s="96" t="s">
        <v>389</v>
      </c>
      <c r="E46" s="93">
        <v>527303</v>
      </c>
      <c r="F46" s="13" t="s">
        <v>390</v>
      </c>
      <c r="G46" s="5" t="s">
        <v>163</v>
      </c>
      <c r="H46" s="5" t="s">
        <v>29</v>
      </c>
    </row>
    <row r="47" spans="2:8">
      <c r="B47" s="112" t="s">
        <v>438</v>
      </c>
      <c r="C47" s="163"/>
      <c r="D47" s="117" t="s">
        <v>32</v>
      </c>
      <c r="E47" s="4">
        <v>0</v>
      </c>
      <c r="F47" s="28" t="s">
        <v>32</v>
      </c>
      <c r="G47" s="4" t="s">
        <v>32</v>
      </c>
      <c r="H47" s="4" t="s">
        <v>32</v>
      </c>
    </row>
    <row r="48" spans="2:8" ht="15" customHeight="1">
      <c r="B48" s="120" t="s">
        <v>540</v>
      </c>
      <c r="C48" s="163"/>
      <c r="D48" s="4" t="s">
        <v>32</v>
      </c>
      <c r="E48" s="4">
        <v>0</v>
      </c>
      <c r="F48" s="4" t="s">
        <v>32</v>
      </c>
      <c r="G48" s="4" t="s">
        <v>32</v>
      </c>
      <c r="H48" s="4" t="s">
        <v>32</v>
      </c>
    </row>
    <row r="49" spans="2:8">
      <c r="B49" s="128" t="s">
        <v>597</v>
      </c>
      <c r="C49" s="163"/>
      <c r="D49" s="26" t="s">
        <v>32</v>
      </c>
      <c r="E49" s="4">
        <v>0</v>
      </c>
      <c r="F49" s="28" t="s">
        <v>32</v>
      </c>
      <c r="G49" s="4" t="s">
        <v>32</v>
      </c>
      <c r="H49" s="4" t="s">
        <v>32</v>
      </c>
    </row>
    <row r="50" spans="2:8" ht="60">
      <c r="B50" s="123" t="s">
        <v>650</v>
      </c>
      <c r="C50" s="163"/>
      <c r="D50" s="13" t="s">
        <v>672</v>
      </c>
      <c r="E50" s="4">
        <v>605000</v>
      </c>
      <c r="F50" s="13" t="s">
        <v>673</v>
      </c>
      <c r="G50" s="5" t="s">
        <v>674</v>
      </c>
      <c r="H50" s="5" t="s">
        <v>502</v>
      </c>
    </row>
    <row r="51" spans="2:8">
      <c r="B51" s="150" t="s">
        <v>770</v>
      </c>
      <c r="C51" s="163"/>
      <c r="D51" s="26" t="s">
        <v>32</v>
      </c>
      <c r="E51" s="4">
        <v>0</v>
      </c>
      <c r="F51" s="26" t="s">
        <v>32</v>
      </c>
      <c r="G51" s="4" t="s">
        <v>32</v>
      </c>
      <c r="H51" s="4" t="s">
        <v>32</v>
      </c>
    </row>
    <row r="52" spans="2:8">
      <c r="B52" s="45"/>
      <c r="C52" s="163"/>
      <c r="D52" s="13"/>
      <c r="E52" s="4"/>
      <c r="F52" s="22"/>
      <c r="G52" s="5"/>
      <c r="H52" s="5"/>
    </row>
    <row r="53" spans="2:8">
      <c r="B53" s="166" t="s">
        <v>33</v>
      </c>
      <c r="C53" s="167"/>
      <c r="D53" s="12"/>
      <c r="E53" s="5">
        <f>SUM(E42:E52)</f>
        <v>2310175</v>
      </c>
      <c r="F53" s="13"/>
      <c r="G53" s="4"/>
      <c r="H53" s="4"/>
    </row>
    <row r="54" spans="2:8" ht="15" customHeight="1">
      <c r="B54" s="62" t="s">
        <v>43</v>
      </c>
      <c r="C54" s="162" t="s">
        <v>19</v>
      </c>
      <c r="D54" s="4" t="s">
        <v>32</v>
      </c>
      <c r="E54" s="4">
        <v>0</v>
      </c>
      <c r="F54" s="4" t="s">
        <v>32</v>
      </c>
      <c r="G54" s="4" t="s">
        <v>32</v>
      </c>
      <c r="H54" s="4" t="s">
        <v>32</v>
      </c>
    </row>
    <row r="55" spans="2:8" ht="60">
      <c r="B55" s="157" t="s">
        <v>74</v>
      </c>
      <c r="C55" s="163"/>
      <c r="D55" s="48" t="s">
        <v>79</v>
      </c>
      <c r="E55" s="41">
        <v>339360</v>
      </c>
      <c r="F55" s="13"/>
      <c r="G55" s="40" t="s">
        <v>163</v>
      </c>
      <c r="H55" s="40" t="s">
        <v>29</v>
      </c>
    </row>
    <row r="56" spans="2:8" ht="45">
      <c r="B56" s="158"/>
      <c r="C56" s="163"/>
      <c r="D56" s="22" t="s">
        <v>84</v>
      </c>
      <c r="E56" s="4">
        <v>54500</v>
      </c>
      <c r="F56" s="13" t="s">
        <v>85</v>
      </c>
      <c r="G56" s="40" t="s">
        <v>163</v>
      </c>
      <c r="H56" s="5" t="s">
        <v>29</v>
      </c>
    </row>
    <row r="57" spans="2:8" ht="45">
      <c r="B57" s="158"/>
      <c r="C57" s="163"/>
      <c r="D57" s="19" t="s">
        <v>86</v>
      </c>
      <c r="E57" s="4">
        <v>250000</v>
      </c>
      <c r="F57" s="13" t="s">
        <v>87</v>
      </c>
      <c r="G57" s="40" t="s">
        <v>163</v>
      </c>
      <c r="H57" s="5" t="s">
        <v>29</v>
      </c>
    </row>
    <row r="58" spans="2:8" ht="45">
      <c r="B58" s="159"/>
      <c r="C58" s="163"/>
      <c r="D58" s="19" t="s">
        <v>88</v>
      </c>
      <c r="E58" s="4">
        <v>318750</v>
      </c>
      <c r="F58" s="13" t="s">
        <v>89</v>
      </c>
      <c r="G58" s="40" t="s">
        <v>163</v>
      </c>
      <c r="H58" s="5" t="s">
        <v>29</v>
      </c>
    </row>
    <row r="59" spans="2:8" ht="60">
      <c r="B59" s="157" t="s">
        <v>160</v>
      </c>
      <c r="C59" s="163"/>
      <c r="D59" s="48" t="s">
        <v>203</v>
      </c>
      <c r="E59" s="44">
        <v>112500</v>
      </c>
      <c r="F59" s="13" t="s">
        <v>204</v>
      </c>
      <c r="G59" s="40" t="s">
        <v>163</v>
      </c>
      <c r="H59" s="5" t="s">
        <v>29</v>
      </c>
    </row>
    <row r="60" spans="2:8" ht="60">
      <c r="B60" s="158"/>
      <c r="C60" s="163"/>
      <c r="D60" s="48" t="s">
        <v>205</v>
      </c>
      <c r="E60" s="4">
        <v>22800</v>
      </c>
      <c r="F60" s="13" t="s">
        <v>206</v>
      </c>
      <c r="G60" s="40" t="s">
        <v>163</v>
      </c>
      <c r="H60" s="5" t="s">
        <v>29</v>
      </c>
    </row>
    <row r="61" spans="2:8" ht="60">
      <c r="B61" s="158"/>
      <c r="C61" s="163"/>
      <c r="D61" s="48" t="s">
        <v>207</v>
      </c>
      <c r="E61" s="4">
        <v>67500</v>
      </c>
      <c r="F61" s="13" t="s">
        <v>208</v>
      </c>
      <c r="G61" s="40" t="s">
        <v>163</v>
      </c>
      <c r="H61" s="5" t="s">
        <v>29</v>
      </c>
    </row>
    <row r="62" spans="2:8" ht="75">
      <c r="B62" s="159"/>
      <c r="C62" s="163"/>
      <c r="D62" s="48" t="s">
        <v>209</v>
      </c>
      <c r="E62" s="4">
        <v>71250</v>
      </c>
      <c r="F62" s="13" t="s">
        <v>210</v>
      </c>
      <c r="G62" s="40" t="s">
        <v>163</v>
      </c>
      <c r="H62" s="5" t="s">
        <v>29</v>
      </c>
    </row>
    <row r="63" spans="2:8" ht="45">
      <c r="B63" s="157" t="s">
        <v>308</v>
      </c>
      <c r="C63" s="163"/>
      <c r="D63" s="12" t="s">
        <v>320</v>
      </c>
      <c r="E63" s="4">
        <v>70000</v>
      </c>
      <c r="F63" s="17"/>
      <c r="G63" s="5"/>
      <c r="H63" s="5"/>
    </row>
    <row r="64" spans="2:8" ht="75">
      <c r="B64" s="159"/>
      <c r="C64" s="163"/>
      <c r="D64" s="101" t="s">
        <v>324</v>
      </c>
      <c r="E64" s="4">
        <v>162875</v>
      </c>
      <c r="F64" s="13" t="s">
        <v>325</v>
      </c>
      <c r="G64" s="40" t="s">
        <v>163</v>
      </c>
      <c r="H64" s="5" t="s">
        <v>29</v>
      </c>
    </row>
    <row r="65" spans="2:8" ht="60">
      <c r="B65" s="91" t="s">
        <v>373</v>
      </c>
      <c r="C65" s="163"/>
      <c r="D65" s="96" t="s">
        <v>386</v>
      </c>
      <c r="E65" s="93">
        <v>346080</v>
      </c>
      <c r="F65" s="26"/>
      <c r="G65" s="40" t="s">
        <v>163</v>
      </c>
      <c r="H65" s="5" t="s">
        <v>29</v>
      </c>
    </row>
    <row r="66" spans="2:8" ht="60">
      <c r="B66" s="165" t="s">
        <v>438</v>
      </c>
      <c r="C66" s="163"/>
      <c r="D66" s="102" t="s">
        <v>525</v>
      </c>
      <c r="E66" s="4">
        <v>420000</v>
      </c>
      <c r="F66" s="13" t="s">
        <v>510</v>
      </c>
      <c r="G66" s="40" t="s">
        <v>163</v>
      </c>
      <c r="H66" s="5" t="s">
        <v>29</v>
      </c>
    </row>
    <row r="67" spans="2:8" ht="60">
      <c r="B67" s="165"/>
      <c r="C67" s="163"/>
      <c r="D67" s="102" t="s">
        <v>523</v>
      </c>
      <c r="E67" s="4">
        <v>112500</v>
      </c>
      <c r="F67" s="13" t="s">
        <v>524</v>
      </c>
      <c r="G67" s="40" t="s">
        <v>163</v>
      </c>
      <c r="H67" s="5" t="s">
        <v>29</v>
      </c>
    </row>
    <row r="68" spans="2:8" ht="60">
      <c r="B68" s="165"/>
      <c r="C68" s="163"/>
      <c r="D68" s="102" t="s">
        <v>205</v>
      </c>
      <c r="E68" s="4">
        <v>22800</v>
      </c>
      <c r="F68" s="13" t="s">
        <v>526</v>
      </c>
      <c r="G68" s="40" t="s">
        <v>163</v>
      </c>
      <c r="H68" s="5" t="s">
        <v>29</v>
      </c>
    </row>
    <row r="69" spans="2:8" ht="60">
      <c r="B69" s="165"/>
      <c r="C69" s="163"/>
      <c r="D69" s="102" t="s">
        <v>207</v>
      </c>
      <c r="E69" s="4">
        <v>67500</v>
      </c>
      <c r="F69" s="13" t="s">
        <v>527</v>
      </c>
      <c r="G69" s="40" t="s">
        <v>163</v>
      </c>
      <c r="H69" s="5" t="s">
        <v>29</v>
      </c>
    </row>
    <row r="70" spans="2:8" ht="75">
      <c r="B70" s="165"/>
      <c r="C70" s="163"/>
      <c r="D70" s="102" t="s">
        <v>209</v>
      </c>
      <c r="E70" s="4">
        <v>71250</v>
      </c>
      <c r="F70" s="13" t="s">
        <v>528</v>
      </c>
      <c r="G70" s="40" t="s">
        <v>163</v>
      </c>
      <c r="H70" s="5" t="s">
        <v>29</v>
      </c>
    </row>
    <row r="71" spans="2:8" ht="15.75" customHeight="1">
      <c r="B71" s="21" t="s">
        <v>540</v>
      </c>
      <c r="C71" s="163"/>
      <c r="D71" s="124" t="s">
        <v>32</v>
      </c>
      <c r="E71" s="4">
        <v>0</v>
      </c>
      <c r="F71" s="26" t="s">
        <v>32</v>
      </c>
      <c r="G71" s="44" t="s">
        <v>32</v>
      </c>
      <c r="H71" s="4" t="s">
        <v>32</v>
      </c>
    </row>
    <row r="72" spans="2:8" ht="60">
      <c r="B72" s="157" t="s">
        <v>597</v>
      </c>
      <c r="C72" s="163"/>
      <c r="D72" s="100" t="s">
        <v>605</v>
      </c>
      <c r="E72" s="4">
        <v>42501</v>
      </c>
      <c r="F72" s="13" t="s">
        <v>606</v>
      </c>
      <c r="G72" s="40" t="s">
        <v>163</v>
      </c>
      <c r="H72" s="5" t="s">
        <v>29</v>
      </c>
    </row>
    <row r="73" spans="2:8" ht="60">
      <c r="B73" s="158"/>
      <c r="C73" s="163"/>
      <c r="D73" s="100" t="s">
        <v>608</v>
      </c>
      <c r="E73" s="4">
        <v>420000</v>
      </c>
      <c r="F73" s="13" t="s">
        <v>609</v>
      </c>
      <c r="G73" s="40" t="s">
        <v>163</v>
      </c>
      <c r="H73" s="5" t="s">
        <v>29</v>
      </c>
    </row>
    <row r="74" spans="2:8" ht="60">
      <c r="B74" s="159"/>
      <c r="C74" s="163"/>
      <c r="D74" s="100" t="s">
        <v>612</v>
      </c>
      <c r="E74" s="4">
        <v>168575</v>
      </c>
      <c r="F74" s="13" t="s">
        <v>613</v>
      </c>
      <c r="G74" s="40" t="s">
        <v>163</v>
      </c>
      <c r="H74" s="5" t="s">
        <v>29</v>
      </c>
    </row>
    <row r="75" spans="2:8" ht="60">
      <c r="B75" s="136" t="s">
        <v>650</v>
      </c>
      <c r="C75" s="163"/>
      <c r="D75" s="100" t="s">
        <v>692</v>
      </c>
      <c r="E75" s="4">
        <v>5250000</v>
      </c>
      <c r="F75" s="13" t="s">
        <v>693</v>
      </c>
      <c r="G75" s="40" t="s">
        <v>163</v>
      </c>
      <c r="H75" s="5" t="s">
        <v>29</v>
      </c>
    </row>
    <row r="76" spans="2:8" ht="60">
      <c r="B76" s="141" t="s">
        <v>770</v>
      </c>
      <c r="C76" s="164"/>
      <c r="D76" s="100" t="s">
        <v>799</v>
      </c>
      <c r="E76" s="4">
        <v>162875</v>
      </c>
      <c r="F76" s="13" t="s">
        <v>800</v>
      </c>
      <c r="G76" s="40" t="s">
        <v>163</v>
      </c>
      <c r="H76" s="5" t="s">
        <v>29</v>
      </c>
    </row>
    <row r="77" spans="2:8" ht="15.75">
      <c r="B77" s="21"/>
      <c r="C77" s="131"/>
      <c r="D77" s="100"/>
      <c r="E77" s="4"/>
      <c r="F77" s="13"/>
      <c r="G77" s="40"/>
      <c r="H77" s="5"/>
    </row>
    <row r="78" spans="2:8">
      <c r="B78" s="166" t="s">
        <v>33</v>
      </c>
      <c r="C78" s="167"/>
      <c r="D78" s="19"/>
      <c r="E78" s="5">
        <f>SUM(E54:E76)</f>
        <v>8553616</v>
      </c>
      <c r="F78" s="22"/>
      <c r="G78" s="5"/>
      <c r="H78" s="5"/>
    </row>
    <row r="79" spans="2:8" ht="45" customHeight="1">
      <c r="B79" s="157" t="s">
        <v>43</v>
      </c>
      <c r="C79" s="162" t="s">
        <v>23</v>
      </c>
      <c r="D79" s="22" t="s">
        <v>41</v>
      </c>
      <c r="E79" s="4">
        <v>1500</v>
      </c>
      <c r="F79" s="13" t="s">
        <v>72</v>
      </c>
      <c r="G79" s="5" t="s">
        <v>92</v>
      </c>
      <c r="H79" s="5" t="s">
        <v>29</v>
      </c>
    </row>
    <row r="80" spans="2:8" ht="45">
      <c r="B80" s="159"/>
      <c r="C80" s="163"/>
      <c r="D80" s="19" t="s">
        <v>44</v>
      </c>
      <c r="E80" s="4">
        <v>1000</v>
      </c>
      <c r="F80" s="64" t="s">
        <v>73</v>
      </c>
      <c r="G80" s="5" t="s">
        <v>180</v>
      </c>
      <c r="H80" s="10"/>
    </row>
    <row r="81" spans="2:8" ht="15" customHeight="1">
      <c r="B81" s="21" t="s">
        <v>74</v>
      </c>
      <c r="C81" s="163"/>
      <c r="D81" s="71" t="s">
        <v>32</v>
      </c>
      <c r="E81" s="4">
        <v>0</v>
      </c>
      <c r="F81" s="28" t="s">
        <v>32</v>
      </c>
      <c r="G81" s="43" t="s">
        <v>32</v>
      </c>
      <c r="H81" s="11" t="s">
        <v>32</v>
      </c>
    </row>
    <row r="82" spans="2:8" ht="90">
      <c r="B82" s="157" t="s">
        <v>160</v>
      </c>
      <c r="C82" s="163"/>
      <c r="D82" s="19" t="s">
        <v>181</v>
      </c>
      <c r="E82" s="4">
        <v>1000</v>
      </c>
      <c r="F82" s="17" t="s">
        <v>182</v>
      </c>
      <c r="G82" s="5" t="s">
        <v>93</v>
      </c>
      <c r="H82" s="10"/>
    </row>
    <row r="83" spans="2:8" ht="90">
      <c r="B83" s="158"/>
      <c r="C83" s="163"/>
      <c r="D83" s="13" t="s">
        <v>183</v>
      </c>
      <c r="E83" s="4">
        <v>2000000</v>
      </c>
      <c r="F83" s="17" t="s">
        <v>184</v>
      </c>
      <c r="G83" s="5" t="s">
        <v>163</v>
      </c>
      <c r="H83" s="5" t="s">
        <v>185</v>
      </c>
    </row>
    <row r="84" spans="2:8" ht="60">
      <c r="B84" s="158"/>
      <c r="C84" s="163"/>
      <c r="D84" s="22" t="s">
        <v>188</v>
      </c>
      <c r="E84" s="4">
        <v>290400</v>
      </c>
      <c r="F84" s="17" t="s">
        <v>189</v>
      </c>
      <c r="G84" s="5" t="s">
        <v>190</v>
      </c>
      <c r="H84" s="10"/>
    </row>
    <row r="85" spans="2:8" ht="45">
      <c r="B85" s="159"/>
      <c r="C85" s="163"/>
      <c r="D85" s="79" t="s">
        <v>211</v>
      </c>
      <c r="E85" s="4">
        <v>125</v>
      </c>
      <c r="F85" s="13" t="s">
        <v>212</v>
      </c>
      <c r="G85" s="40" t="s">
        <v>163</v>
      </c>
      <c r="H85" s="5" t="s">
        <v>29</v>
      </c>
    </row>
    <row r="86" spans="2:8" ht="90">
      <c r="B86" s="157" t="s">
        <v>308</v>
      </c>
      <c r="C86" s="163"/>
      <c r="D86" s="13" t="s">
        <v>321</v>
      </c>
      <c r="E86" s="4">
        <v>1000</v>
      </c>
      <c r="F86" s="17" t="s">
        <v>322</v>
      </c>
      <c r="G86" s="5" t="s">
        <v>142</v>
      </c>
      <c r="H86" s="5"/>
    </row>
    <row r="87" spans="2:8" ht="45">
      <c r="B87" s="159"/>
      <c r="C87" s="163"/>
      <c r="D87" s="94" t="s">
        <v>323</v>
      </c>
      <c r="E87" s="4">
        <v>1500</v>
      </c>
      <c r="F87" s="13" t="s">
        <v>337</v>
      </c>
      <c r="G87" s="40" t="s">
        <v>163</v>
      </c>
      <c r="H87" s="5" t="s">
        <v>29</v>
      </c>
    </row>
    <row r="88" spans="2:8" ht="45">
      <c r="B88" s="157" t="s">
        <v>373</v>
      </c>
      <c r="C88" s="163"/>
      <c r="D88" s="97" t="s">
        <v>379</v>
      </c>
      <c r="E88" s="93">
        <v>76750</v>
      </c>
      <c r="F88" s="13" t="s">
        <v>380</v>
      </c>
      <c r="G88" s="40" t="s">
        <v>163</v>
      </c>
      <c r="H88" s="5" t="s">
        <v>29</v>
      </c>
    </row>
    <row r="89" spans="2:8" ht="45">
      <c r="B89" s="158"/>
      <c r="C89" s="163"/>
      <c r="D89" s="97" t="s">
        <v>381</v>
      </c>
      <c r="E89" s="93">
        <v>349611</v>
      </c>
      <c r="F89" s="13" t="s">
        <v>382</v>
      </c>
      <c r="G89" s="40" t="s">
        <v>163</v>
      </c>
      <c r="H89" s="5" t="s">
        <v>29</v>
      </c>
    </row>
    <row r="90" spans="2:8" ht="60">
      <c r="B90" s="158"/>
      <c r="C90" s="163"/>
      <c r="D90" s="97" t="s">
        <v>383</v>
      </c>
      <c r="E90" s="93">
        <v>1395287</v>
      </c>
      <c r="F90" s="13" t="s">
        <v>384</v>
      </c>
      <c r="G90" s="40" t="s">
        <v>163</v>
      </c>
      <c r="H90" s="5" t="s">
        <v>29</v>
      </c>
    </row>
    <row r="91" spans="2:8" ht="60">
      <c r="B91" s="158"/>
      <c r="C91" s="163"/>
      <c r="D91" s="97" t="s">
        <v>387</v>
      </c>
      <c r="E91" s="93">
        <v>132000</v>
      </c>
      <c r="F91" s="22" t="s">
        <v>388</v>
      </c>
      <c r="G91" s="5" t="s">
        <v>163</v>
      </c>
      <c r="H91" s="5" t="s">
        <v>185</v>
      </c>
    </row>
    <row r="92" spans="2:8" ht="60">
      <c r="B92" s="159"/>
      <c r="C92" s="163"/>
      <c r="D92" s="96" t="s">
        <v>391</v>
      </c>
      <c r="E92" s="93">
        <v>1000</v>
      </c>
      <c r="F92" s="13" t="s">
        <v>392</v>
      </c>
      <c r="G92" s="5" t="s">
        <v>393</v>
      </c>
      <c r="H92" s="4"/>
    </row>
    <row r="93" spans="2:8" ht="45">
      <c r="B93" s="21" t="s">
        <v>438</v>
      </c>
      <c r="C93" s="163"/>
      <c r="D93" s="95" t="s">
        <v>211</v>
      </c>
      <c r="E93" s="4">
        <v>125</v>
      </c>
      <c r="F93" s="13" t="s">
        <v>515</v>
      </c>
      <c r="G93" s="40" t="s">
        <v>163</v>
      </c>
      <c r="H93" s="5" t="s">
        <v>29</v>
      </c>
    </row>
    <row r="94" spans="2:8" ht="45">
      <c r="B94" s="165" t="s">
        <v>540</v>
      </c>
      <c r="C94" s="163"/>
      <c r="D94" s="95" t="s">
        <v>556</v>
      </c>
      <c r="E94" s="4">
        <v>1000</v>
      </c>
      <c r="F94" s="13" t="s">
        <v>557</v>
      </c>
      <c r="G94" s="40" t="s">
        <v>558</v>
      </c>
      <c r="H94" s="5" t="s">
        <v>502</v>
      </c>
    </row>
    <row r="95" spans="2:8" ht="45">
      <c r="B95" s="165"/>
      <c r="C95" s="163"/>
      <c r="D95" s="95" t="s">
        <v>323</v>
      </c>
      <c r="E95" s="4">
        <v>1500</v>
      </c>
      <c r="F95" s="13" t="s">
        <v>559</v>
      </c>
      <c r="G95" s="40" t="s">
        <v>163</v>
      </c>
      <c r="H95" s="5" t="s">
        <v>29</v>
      </c>
    </row>
    <row r="96" spans="2:8" ht="45">
      <c r="B96" s="165"/>
      <c r="C96" s="163"/>
      <c r="D96" s="96" t="s">
        <v>381</v>
      </c>
      <c r="E96" s="5">
        <v>1976728</v>
      </c>
      <c r="F96" s="13"/>
      <c r="G96" s="40" t="s">
        <v>163</v>
      </c>
      <c r="H96" s="5" t="s">
        <v>29</v>
      </c>
    </row>
    <row r="97" spans="2:8" ht="60">
      <c r="B97" s="128" t="s">
        <v>597</v>
      </c>
      <c r="C97" s="163"/>
      <c r="D97" s="95" t="s">
        <v>614</v>
      </c>
      <c r="E97" s="4">
        <v>3811114</v>
      </c>
      <c r="F97" s="13"/>
      <c r="G97" s="40" t="s">
        <v>163</v>
      </c>
      <c r="H97" s="5" t="s">
        <v>29</v>
      </c>
    </row>
    <row r="98" spans="2:8" ht="45">
      <c r="B98" s="157" t="s">
        <v>650</v>
      </c>
      <c r="C98" s="163"/>
      <c r="D98" s="95" t="s">
        <v>211</v>
      </c>
      <c r="E98" s="4">
        <v>125</v>
      </c>
      <c r="F98" s="13" t="s">
        <v>671</v>
      </c>
      <c r="G98" s="40" t="s">
        <v>163</v>
      </c>
      <c r="H98" s="5" t="s">
        <v>29</v>
      </c>
    </row>
    <row r="99" spans="2:8" ht="45">
      <c r="B99" s="158"/>
      <c r="C99" s="163"/>
      <c r="D99" s="95" t="s">
        <v>675</v>
      </c>
      <c r="E99" s="4">
        <v>210000</v>
      </c>
      <c r="F99" s="13" t="s">
        <v>676</v>
      </c>
      <c r="G99" s="5" t="s">
        <v>163</v>
      </c>
      <c r="H99" s="5" t="s">
        <v>185</v>
      </c>
    </row>
    <row r="100" spans="2:8" ht="90">
      <c r="B100" s="159"/>
      <c r="C100" s="163"/>
      <c r="D100" s="95" t="s">
        <v>677</v>
      </c>
      <c r="E100" s="4">
        <v>1000</v>
      </c>
      <c r="F100" s="13" t="s">
        <v>678</v>
      </c>
      <c r="G100" s="40" t="s">
        <v>679</v>
      </c>
      <c r="H100" s="5" t="s">
        <v>502</v>
      </c>
    </row>
    <row r="101" spans="2:8" ht="45">
      <c r="B101" s="157" t="s">
        <v>770</v>
      </c>
      <c r="C101" s="163"/>
      <c r="D101" s="95" t="s">
        <v>793</v>
      </c>
      <c r="E101" s="4">
        <v>3000000</v>
      </c>
      <c r="F101" s="13" t="s">
        <v>794</v>
      </c>
      <c r="G101" s="5" t="s">
        <v>163</v>
      </c>
      <c r="H101" s="5" t="s">
        <v>185</v>
      </c>
    </row>
    <row r="102" spans="2:8" ht="60">
      <c r="B102" s="158"/>
      <c r="C102" s="163"/>
      <c r="D102" s="95" t="s">
        <v>795</v>
      </c>
      <c r="E102" s="4">
        <v>1760000</v>
      </c>
      <c r="F102" s="13" t="s">
        <v>796</v>
      </c>
      <c r="G102" s="5" t="s">
        <v>163</v>
      </c>
      <c r="H102" s="5" t="s">
        <v>185</v>
      </c>
    </row>
    <row r="103" spans="2:8" ht="45">
      <c r="B103" s="158"/>
      <c r="C103" s="163"/>
      <c r="D103" s="95" t="s">
        <v>323</v>
      </c>
      <c r="E103" s="4">
        <v>1500</v>
      </c>
      <c r="F103" s="13" t="s">
        <v>797</v>
      </c>
      <c r="G103" s="40" t="s">
        <v>163</v>
      </c>
      <c r="H103" s="5" t="s">
        <v>29</v>
      </c>
    </row>
    <row r="104" spans="2:8" ht="45">
      <c r="B104" s="159"/>
      <c r="C104" s="164"/>
      <c r="D104" s="95" t="s">
        <v>381</v>
      </c>
      <c r="E104" s="4">
        <v>609305</v>
      </c>
      <c r="F104" s="13" t="s">
        <v>798</v>
      </c>
      <c r="G104" s="40" t="s">
        <v>163</v>
      </c>
      <c r="H104" s="5" t="s">
        <v>29</v>
      </c>
    </row>
    <row r="105" spans="2:8" ht="15.75">
      <c r="B105" s="141"/>
      <c r="C105" s="145"/>
      <c r="D105" s="95"/>
      <c r="E105" s="4"/>
      <c r="F105" s="13"/>
      <c r="G105" s="40"/>
      <c r="H105" s="5"/>
    </row>
    <row r="106" spans="2:8" ht="15.75">
      <c r="B106" s="139"/>
      <c r="C106" s="140"/>
      <c r="D106" s="95"/>
      <c r="E106" s="4"/>
      <c r="F106" s="13"/>
      <c r="G106" s="40"/>
      <c r="H106" s="5"/>
    </row>
    <row r="107" spans="2:8">
      <c r="B107" s="160" t="s">
        <v>33</v>
      </c>
      <c r="C107" s="161"/>
      <c r="D107" s="10"/>
      <c r="E107" s="14">
        <f>SUM(E79:E104)</f>
        <v>15623570</v>
      </c>
      <c r="F107" s="10"/>
      <c r="G107" s="10"/>
      <c r="H107" s="10"/>
    </row>
    <row r="108" spans="2:8">
      <c r="B108" s="113" t="s">
        <v>43</v>
      </c>
      <c r="C108" s="162" t="s">
        <v>24</v>
      </c>
      <c r="D108" s="4" t="s">
        <v>32</v>
      </c>
      <c r="E108" s="4">
        <v>0</v>
      </c>
      <c r="F108" s="4" t="s">
        <v>32</v>
      </c>
      <c r="G108" s="4" t="s">
        <v>32</v>
      </c>
      <c r="H108" s="4" t="s">
        <v>32</v>
      </c>
    </row>
    <row r="109" spans="2:8">
      <c r="B109" s="21" t="s">
        <v>74</v>
      </c>
      <c r="C109" s="163"/>
      <c r="D109" s="4" t="s">
        <v>32</v>
      </c>
      <c r="E109" s="4">
        <v>0</v>
      </c>
      <c r="F109" s="4" t="s">
        <v>32</v>
      </c>
      <c r="G109" s="4" t="s">
        <v>32</v>
      </c>
      <c r="H109" s="4" t="s">
        <v>32</v>
      </c>
    </row>
    <row r="110" spans="2:8" ht="46.5" customHeight="1">
      <c r="B110" s="21" t="s">
        <v>160</v>
      </c>
      <c r="C110" s="163"/>
      <c r="D110" s="4" t="s">
        <v>32</v>
      </c>
      <c r="E110" s="4">
        <v>0</v>
      </c>
      <c r="F110" s="26" t="s">
        <v>32</v>
      </c>
      <c r="G110" s="4" t="s">
        <v>32</v>
      </c>
      <c r="H110" s="4" t="s">
        <v>32</v>
      </c>
    </row>
    <row r="111" spans="2:8">
      <c r="B111" s="21" t="s">
        <v>308</v>
      </c>
      <c r="C111" s="163"/>
      <c r="D111" s="4" t="s">
        <v>32</v>
      </c>
      <c r="E111" s="4">
        <v>0</v>
      </c>
      <c r="F111" s="26" t="s">
        <v>32</v>
      </c>
      <c r="G111" s="4" t="s">
        <v>32</v>
      </c>
      <c r="H111" s="4" t="s">
        <v>32</v>
      </c>
    </row>
    <row r="112" spans="2:8">
      <c r="B112" s="21" t="s">
        <v>373</v>
      </c>
      <c r="C112" s="163"/>
      <c r="D112" s="4" t="s">
        <v>32</v>
      </c>
      <c r="E112" s="4">
        <v>0</v>
      </c>
      <c r="F112" s="4" t="s">
        <v>32</v>
      </c>
      <c r="G112" s="4" t="s">
        <v>32</v>
      </c>
      <c r="H112" s="4" t="s">
        <v>32</v>
      </c>
    </row>
    <row r="113" spans="2:8">
      <c r="B113" s="21" t="s">
        <v>438</v>
      </c>
      <c r="C113" s="163"/>
      <c r="D113" s="4" t="s">
        <v>32</v>
      </c>
      <c r="E113" s="4">
        <v>0</v>
      </c>
      <c r="F113" s="4" t="s">
        <v>32</v>
      </c>
      <c r="G113" s="4" t="s">
        <v>32</v>
      </c>
      <c r="H113" s="4" t="s">
        <v>32</v>
      </c>
    </row>
    <row r="114" spans="2:8">
      <c r="B114" s="21" t="s">
        <v>540</v>
      </c>
      <c r="C114" s="163"/>
      <c r="D114" s="4" t="s">
        <v>32</v>
      </c>
      <c r="E114" s="4">
        <v>0</v>
      </c>
      <c r="F114" s="4" t="s">
        <v>32</v>
      </c>
      <c r="G114" s="4" t="s">
        <v>32</v>
      </c>
      <c r="H114" s="4" t="s">
        <v>32</v>
      </c>
    </row>
    <row r="115" spans="2:8" ht="30">
      <c r="B115" s="21" t="s">
        <v>597</v>
      </c>
      <c r="C115" s="163"/>
      <c r="D115" s="16" t="s">
        <v>615</v>
      </c>
      <c r="E115" s="4">
        <v>506874</v>
      </c>
      <c r="F115" s="13" t="s">
        <v>616</v>
      </c>
      <c r="G115" s="4" t="s">
        <v>617</v>
      </c>
      <c r="H115" s="5" t="s">
        <v>502</v>
      </c>
    </row>
    <row r="116" spans="2:8">
      <c r="B116" s="21" t="s">
        <v>650</v>
      </c>
      <c r="C116" s="163"/>
      <c r="D116" s="4" t="s">
        <v>32</v>
      </c>
      <c r="E116" s="4">
        <v>0</v>
      </c>
      <c r="F116" s="26" t="s">
        <v>32</v>
      </c>
      <c r="G116" s="4" t="s">
        <v>32</v>
      </c>
      <c r="H116" s="4" t="s">
        <v>32</v>
      </c>
    </row>
    <row r="117" spans="2:8">
      <c r="B117" s="42" t="s">
        <v>770</v>
      </c>
      <c r="C117" s="163"/>
      <c r="D117" s="4" t="s">
        <v>32</v>
      </c>
      <c r="E117" s="4">
        <v>0</v>
      </c>
      <c r="F117" s="26" t="s">
        <v>32</v>
      </c>
      <c r="G117" s="4" t="s">
        <v>32</v>
      </c>
      <c r="H117" s="4" t="s">
        <v>32</v>
      </c>
    </row>
    <row r="118" spans="2:8">
      <c r="B118" s="54"/>
      <c r="C118" s="163"/>
      <c r="D118" s="4"/>
      <c r="E118" s="4"/>
      <c r="F118" s="4"/>
      <c r="G118" s="4"/>
      <c r="H118" s="4"/>
    </row>
    <row r="119" spans="2:8">
      <c r="B119" s="61"/>
      <c r="C119" s="163"/>
      <c r="D119" s="4"/>
      <c r="E119" s="4"/>
      <c r="F119" s="13"/>
      <c r="G119" s="4"/>
      <c r="H119" s="4"/>
    </row>
    <row r="120" spans="2:8">
      <c r="B120" s="36"/>
      <c r="C120" s="164"/>
      <c r="D120" s="4"/>
      <c r="E120" s="4"/>
      <c r="F120" s="4"/>
      <c r="G120" s="4"/>
      <c r="H120" s="4"/>
    </row>
    <row r="121" spans="2:8">
      <c r="B121" s="166" t="s">
        <v>33</v>
      </c>
      <c r="C121" s="167"/>
      <c r="D121" s="4"/>
      <c r="E121" s="5">
        <f>SUM(E108:E120)</f>
        <v>506874</v>
      </c>
      <c r="F121" s="13"/>
      <c r="G121" s="4"/>
      <c r="H121" s="4"/>
    </row>
    <row r="122" spans="2:8">
      <c r="B122" s="160" t="s">
        <v>34</v>
      </c>
      <c r="C122" s="161"/>
      <c r="D122" s="10"/>
      <c r="E122" s="37">
        <f>(E41+E53+E78+E107+E121)</f>
        <v>29083038</v>
      </c>
      <c r="F122" s="10"/>
      <c r="G122" s="10"/>
      <c r="H122" s="10"/>
    </row>
  </sheetData>
  <mergeCells count="36">
    <mergeCell ref="H3:H4"/>
    <mergeCell ref="B3:B4"/>
    <mergeCell ref="C3:C4"/>
    <mergeCell ref="D3:D4"/>
    <mergeCell ref="E3:E4"/>
    <mergeCell ref="F3:F4"/>
    <mergeCell ref="G3:G4"/>
    <mergeCell ref="B66:B70"/>
    <mergeCell ref="B26:B28"/>
    <mergeCell ref="B72:B74"/>
    <mergeCell ref="B41:C41"/>
    <mergeCell ref="B53:C53"/>
    <mergeCell ref="B55:B58"/>
    <mergeCell ref="C54:C76"/>
    <mergeCell ref="B37:B39"/>
    <mergeCell ref="C5:C39"/>
    <mergeCell ref="B8:B14"/>
    <mergeCell ref="C42:C52"/>
    <mergeCell ref="B63:B64"/>
    <mergeCell ref="B6:B7"/>
    <mergeCell ref="B59:B62"/>
    <mergeCell ref="B29:B36"/>
    <mergeCell ref="B17:B24"/>
    <mergeCell ref="B122:C122"/>
    <mergeCell ref="B121:C121"/>
    <mergeCell ref="B82:B85"/>
    <mergeCell ref="B78:C78"/>
    <mergeCell ref="B94:B96"/>
    <mergeCell ref="C108:C120"/>
    <mergeCell ref="B107:C107"/>
    <mergeCell ref="B86:B87"/>
    <mergeCell ref="B79:B80"/>
    <mergeCell ref="B88:B92"/>
    <mergeCell ref="B98:B100"/>
    <mergeCell ref="B101:B104"/>
    <mergeCell ref="C79:C104"/>
  </mergeCells>
  <pageMargins left="0.7" right="0.7" top="0.75" bottom="0.75" header="0.3" footer="0.3"/>
  <pageSetup scale="60" orientation="landscape" r:id="rId1"/>
  <rowBreaks count="2" manualBreakCount="2">
    <brk id="41" max="16383" man="1"/>
    <brk id="7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B1:H98"/>
  <sheetViews>
    <sheetView zoomScaleSheetLayoutView="100" workbookViewId="0">
      <selection activeCell="F7" sqref="F7"/>
    </sheetView>
  </sheetViews>
  <sheetFormatPr defaultRowHeight="15"/>
  <cols>
    <col min="1" max="1" width="9.140625" style="1"/>
    <col min="2" max="2" width="10.5703125" style="1" customWidth="1"/>
    <col min="3" max="3" width="13.140625" style="1" customWidth="1"/>
    <col min="4" max="4" width="24.28515625" style="1" customWidth="1"/>
    <col min="5" max="5" width="20.28515625" style="1" customWidth="1"/>
    <col min="6" max="6" width="16.28515625" style="1" customWidth="1"/>
    <col min="7" max="7" width="14.28515625" style="1" customWidth="1"/>
    <col min="8" max="8" width="10.85546875" style="1" customWidth="1"/>
    <col min="9" max="16384" width="9.140625" style="1"/>
  </cols>
  <sheetData>
    <row r="1" spans="2:8">
      <c r="B1" s="2" t="s">
        <v>7</v>
      </c>
    </row>
    <row r="2" spans="2:8">
      <c r="B2" s="2" t="s">
        <v>2</v>
      </c>
    </row>
    <row r="3" spans="2:8" ht="15.75" customHeight="1">
      <c r="B3" s="172" t="s">
        <v>14</v>
      </c>
      <c r="C3" s="171" t="s">
        <v>8</v>
      </c>
      <c r="D3" s="172" t="s">
        <v>0</v>
      </c>
      <c r="E3" s="171" t="s">
        <v>28</v>
      </c>
      <c r="F3" s="183" t="s">
        <v>26</v>
      </c>
      <c r="G3" s="173" t="s">
        <v>27</v>
      </c>
      <c r="H3" s="170" t="s">
        <v>1</v>
      </c>
    </row>
    <row r="4" spans="2:8" ht="15" customHeight="1">
      <c r="B4" s="172"/>
      <c r="C4" s="171"/>
      <c r="D4" s="172"/>
      <c r="E4" s="171"/>
      <c r="F4" s="184"/>
      <c r="G4" s="173"/>
      <c r="H4" s="170"/>
    </row>
    <row r="5" spans="2:8" ht="15" customHeight="1">
      <c r="B5" s="9" t="s">
        <v>43</v>
      </c>
      <c r="C5" s="162" t="s">
        <v>17</v>
      </c>
      <c r="D5" s="26" t="s">
        <v>32</v>
      </c>
      <c r="E5" s="4">
        <v>0</v>
      </c>
      <c r="F5" s="4" t="s">
        <v>32</v>
      </c>
      <c r="G5" s="4" t="s">
        <v>32</v>
      </c>
      <c r="H5" s="4" t="s">
        <v>32</v>
      </c>
    </row>
    <row r="6" spans="2:8" ht="15" customHeight="1">
      <c r="B6" s="21" t="s">
        <v>74</v>
      </c>
      <c r="C6" s="163"/>
      <c r="D6" s="26" t="s">
        <v>32</v>
      </c>
      <c r="E6" s="4">
        <v>0</v>
      </c>
      <c r="F6" s="4" t="s">
        <v>32</v>
      </c>
      <c r="G6" s="4" t="s">
        <v>32</v>
      </c>
      <c r="H6" s="4" t="s">
        <v>32</v>
      </c>
    </row>
    <row r="7" spans="2:8" ht="45">
      <c r="B7" s="21" t="s">
        <v>160</v>
      </c>
      <c r="C7" s="163"/>
      <c r="D7" s="13" t="s">
        <v>161</v>
      </c>
      <c r="E7" s="4">
        <v>55000</v>
      </c>
      <c r="F7" s="13" t="s">
        <v>162</v>
      </c>
      <c r="G7" s="5" t="s">
        <v>163</v>
      </c>
      <c r="H7" s="5" t="s">
        <v>29</v>
      </c>
    </row>
    <row r="8" spans="2:8" ht="15" customHeight="1">
      <c r="B8" s="21" t="s">
        <v>308</v>
      </c>
      <c r="C8" s="163"/>
      <c r="D8" s="26" t="s">
        <v>32</v>
      </c>
      <c r="E8" s="4">
        <v>0</v>
      </c>
      <c r="F8" s="4" t="s">
        <v>32</v>
      </c>
      <c r="G8" s="4" t="s">
        <v>32</v>
      </c>
      <c r="H8" s="4" t="s">
        <v>32</v>
      </c>
    </row>
    <row r="9" spans="2:8" ht="15" customHeight="1">
      <c r="B9" s="21" t="s">
        <v>373</v>
      </c>
      <c r="C9" s="163"/>
      <c r="D9" s="26" t="s">
        <v>32</v>
      </c>
      <c r="E9" s="4">
        <v>0</v>
      </c>
      <c r="F9" s="4" t="s">
        <v>32</v>
      </c>
      <c r="G9" s="4" t="s">
        <v>32</v>
      </c>
      <c r="H9" s="4" t="s">
        <v>32</v>
      </c>
    </row>
    <row r="10" spans="2:8" ht="45">
      <c r="B10" s="21" t="s">
        <v>438</v>
      </c>
      <c r="C10" s="163"/>
      <c r="D10" s="13" t="s">
        <v>161</v>
      </c>
      <c r="E10" s="4">
        <v>55000</v>
      </c>
      <c r="F10" s="13" t="s">
        <v>529</v>
      </c>
      <c r="G10" s="5" t="s">
        <v>163</v>
      </c>
      <c r="H10" s="5" t="s">
        <v>29</v>
      </c>
    </row>
    <row r="11" spans="2:8">
      <c r="B11" s="21" t="s">
        <v>540</v>
      </c>
      <c r="C11" s="163"/>
      <c r="D11" s="11" t="s">
        <v>32</v>
      </c>
      <c r="E11" s="11">
        <v>0</v>
      </c>
      <c r="F11" s="11" t="s">
        <v>32</v>
      </c>
      <c r="G11" s="11" t="s">
        <v>32</v>
      </c>
      <c r="H11" s="11" t="s">
        <v>32</v>
      </c>
    </row>
    <row r="12" spans="2:8" ht="15.75" customHeight="1">
      <c r="B12" s="21" t="s">
        <v>597</v>
      </c>
      <c r="C12" s="163"/>
      <c r="D12" s="11" t="s">
        <v>32</v>
      </c>
      <c r="E12" s="11">
        <v>0</v>
      </c>
      <c r="F12" s="11" t="s">
        <v>32</v>
      </c>
      <c r="G12" s="11" t="s">
        <v>32</v>
      </c>
      <c r="H12" s="11" t="s">
        <v>32</v>
      </c>
    </row>
    <row r="13" spans="2:8" ht="45">
      <c r="B13" s="21" t="s">
        <v>650</v>
      </c>
      <c r="C13" s="163"/>
      <c r="D13" s="13" t="s">
        <v>161</v>
      </c>
      <c r="E13" s="4">
        <v>55000</v>
      </c>
      <c r="F13" s="13" t="s">
        <v>651</v>
      </c>
      <c r="G13" s="5" t="s">
        <v>163</v>
      </c>
      <c r="H13" s="5" t="s">
        <v>29</v>
      </c>
    </row>
    <row r="14" spans="2:8">
      <c r="B14" s="21" t="s">
        <v>770</v>
      </c>
      <c r="C14" s="163"/>
      <c r="D14" s="26" t="s">
        <v>32</v>
      </c>
      <c r="E14" s="4">
        <v>0</v>
      </c>
      <c r="F14" s="26" t="s">
        <v>32</v>
      </c>
      <c r="G14" s="4" t="s">
        <v>32</v>
      </c>
      <c r="H14" s="4" t="s">
        <v>32</v>
      </c>
    </row>
    <row r="15" spans="2:8" ht="15.75" customHeight="1">
      <c r="B15" s="21"/>
      <c r="C15" s="163"/>
      <c r="D15" s="26"/>
      <c r="E15" s="4"/>
      <c r="F15" s="4"/>
      <c r="G15" s="4"/>
      <c r="H15" s="4"/>
    </row>
    <row r="16" spans="2:8">
      <c r="B16" s="21"/>
      <c r="C16" s="164"/>
      <c r="D16" s="13"/>
      <c r="E16" s="4"/>
      <c r="F16" s="22"/>
      <c r="G16" s="5"/>
      <c r="H16" s="5"/>
    </row>
    <row r="17" spans="2:8" ht="15.75" customHeight="1">
      <c r="B17" s="166" t="s">
        <v>33</v>
      </c>
      <c r="C17" s="167"/>
      <c r="D17" s="26"/>
      <c r="E17" s="5">
        <f>SUM(E5:E16)</f>
        <v>165000</v>
      </c>
      <c r="F17" s="4"/>
      <c r="G17" s="4"/>
      <c r="H17" s="4"/>
    </row>
    <row r="18" spans="2:8" ht="15" customHeight="1">
      <c r="B18" s="9" t="s">
        <v>43</v>
      </c>
      <c r="C18" s="162" t="s">
        <v>18</v>
      </c>
      <c r="D18" s="26" t="s">
        <v>32</v>
      </c>
      <c r="E18" s="4">
        <v>0</v>
      </c>
      <c r="F18" s="4" t="s">
        <v>32</v>
      </c>
      <c r="G18" s="4" t="s">
        <v>32</v>
      </c>
      <c r="H18" s="4" t="s">
        <v>32</v>
      </c>
    </row>
    <row r="19" spans="2:8" ht="15" customHeight="1">
      <c r="B19" s="21" t="s">
        <v>74</v>
      </c>
      <c r="C19" s="163"/>
      <c r="D19" s="26" t="s">
        <v>32</v>
      </c>
      <c r="E19" s="4">
        <v>0</v>
      </c>
      <c r="F19" s="4" t="s">
        <v>32</v>
      </c>
      <c r="G19" s="4" t="s">
        <v>32</v>
      </c>
      <c r="H19" s="4" t="s">
        <v>32</v>
      </c>
    </row>
    <row r="20" spans="2:8" ht="45">
      <c r="B20" s="21" t="s">
        <v>160</v>
      </c>
      <c r="C20" s="163"/>
      <c r="D20" s="13" t="s">
        <v>166</v>
      </c>
      <c r="E20" s="4">
        <v>276500</v>
      </c>
      <c r="F20" s="13" t="s">
        <v>167</v>
      </c>
      <c r="G20" s="5" t="s">
        <v>163</v>
      </c>
      <c r="H20" s="5" t="s">
        <v>29</v>
      </c>
    </row>
    <row r="21" spans="2:8" ht="15" customHeight="1">
      <c r="B21" s="21" t="s">
        <v>308</v>
      </c>
      <c r="C21" s="163"/>
      <c r="D21" s="26" t="s">
        <v>32</v>
      </c>
      <c r="E21" s="4">
        <v>0</v>
      </c>
      <c r="F21" s="4" t="s">
        <v>32</v>
      </c>
      <c r="G21" s="4" t="s">
        <v>32</v>
      </c>
      <c r="H21" s="4" t="s">
        <v>32</v>
      </c>
    </row>
    <row r="22" spans="2:8" ht="15" customHeight="1">
      <c r="B22" s="21" t="s">
        <v>373</v>
      </c>
      <c r="C22" s="163"/>
      <c r="D22" s="26" t="s">
        <v>32</v>
      </c>
      <c r="E22" s="4">
        <v>0</v>
      </c>
      <c r="F22" s="4" t="s">
        <v>32</v>
      </c>
      <c r="G22" s="4" t="s">
        <v>32</v>
      </c>
      <c r="H22" s="4" t="s">
        <v>32</v>
      </c>
    </row>
    <row r="23" spans="2:8" ht="15" customHeight="1">
      <c r="B23" s="21" t="s">
        <v>438</v>
      </c>
      <c r="C23" s="163"/>
      <c r="D23" s="26" t="s">
        <v>32</v>
      </c>
      <c r="E23" s="4">
        <v>0</v>
      </c>
      <c r="F23" s="4" t="s">
        <v>32</v>
      </c>
      <c r="G23" s="4" t="s">
        <v>32</v>
      </c>
      <c r="H23" s="4" t="s">
        <v>32</v>
      </c>
    </row>
    <row r="24" spans="2:8">
      <c r="B24" s="21" t="s">
        <v>540</v>
      </c>
      <c r="C24" s="163"/>
      <c r="D24" s="26" t="s">
        <v>32</v>
      </c>
      <c r="E24" s="4">
        <v>0</v>
      </c>
      <c r="F24" s="28" t="s">
        <v>32</v>
      </c>
      <c r="G24" s="4" t="s">
        <v>32</v>
      </c>
      <c r="H24" s="4" t="s">
        <v>32</v>
      </c>
    </row>
    <row r="25" spans="2:8" ht="15.75" customHeight="1">
      <c r="B25" s="29" t="s">
        <v>597</v>
      </c>
      <c r="C25" s="163"/>
      <c r="D25" s="26" t="s">
        <v>32</v>
      </c>
      <c r="E25" s="4">
        <v>0</v>
      </c>
      <c r="F25" s="28" t="s">
        <v>32</v>
      </c>
      <c r="G25" s="4" t="s">
        <v>32</v>
      </c>
      <c r="H25" s="4" t="s">
        <v>32</v>
      </c>
    </row>
    <row r="26" spans="2:8" ht="60">
      <c r="B26" s="21" t="s">
        <v>650</v>
      </c>
      <c r="C26" s="163"/>
      <c r="D26" s="13" t="s">
        <v>652</v>
      </c>
      <c r="E26" s="4">
        <v>55300</v>
      </c>
      <c r="F26" s="22" t="s">
        <v>653</v>
      </c>
      <c r="G26" s="5" t="s">
        <v>163</v>
      </c>
      <c r="H26" s="5" t="s">
        <v>29</v>
      </c>
    </row>
    <row r="27" spans="2:8" ht="45">
      <c r="B27" s="21" t="s">
        <v>770</v>
      </c>
      <c r="C27" s="163"/>
      <c r="D27" s="13" t="s">
        <v>775</v>
      </c>
      <c r="E27" s="4">
        <v>63900</v>
      </c>
      <c r="F27" s="13" t="s">
        <v>776</v>
      </c>
      <c r="G27" s="5" t="s">
        <v>163</v>
      </c>
      <c r="H27" s="5" t="s">
        <v>29</v>
      </c>
    </row>
    <row r="28" spans="2:8">
      <c r="B28" s="21"/>
      <c r="C28" s="163"/>
      <c r="D28" s="13"/>
      <c r="E28" s="4"/>
      <c r="F28" s="13"/>
      <c r="G28" s="5"/>
      <c r="H28" s="5"/>
    </row>
    <row r="29" spans="2:8">
      <c r="B29" s="21"/>
      <c r="C29" s="163"/>
      <c r="D29" s="13"/>
      <c r="E29" s="4"/>
      <c r="F29" s="13"/>
      <c r="G29" s="5"/>
      <c r="H29" s="5"/>
    </row>
    <row r="30" spans="2:8">
      <c r="B30" s="21"/>
      <c r="C30" s="163"/>
      <c r="D30" s="13"/>
      <c r="E30" s="4"/>
      <c r="F30" s="13"/>
      <c r="G30" s="5"/>
      <c r="H30" s="5"/>
    </row>
    <row r="31" spans="2:8">
      <c r="B31" s="21"/>
      <c r="C31" s="164"/>
      <c r="D31" s="13"/>
      <c r="E31" s="4"/>
      <c r="F31" s="22"/>
      <c r="G31" s="5"/>
      <c r="H31" s="5"/>
    </row>
    <row r="32" spans="2:8" ht="15.75" customHeight="1">
      <c r="B32" s="166" t="s">
        <v>33</v>
      </c>
      <c r="C32" s="167"/>
      <c r="D32" s="13"/>
      <c r="E32" s="5">
        <f>SUM(E18:E31)</f>
        <v>395700</v>
      </c>
      <c r="F32" s="4"/>
      <c r="G32" s="4"/>
      <c r="H32" s="4"/>
    </row>
    <row r="33" spans="2:8" ht="15" customHeight="1">
      <c r="B33" s="21" t="s">
        <v>43</v>
      </c>
      <c r="C33" s="162" t="s">
        <v>19</v>
      </c>
      <c r="D33" s="26" t="s">
        <v>32</v>
      </c>
      <c r="E33" s="4">
        <v>0</v>
      </c>
      <c r="F33" s="4" t="s">
        <v>32</v>
      </c>
      <c r="G33" s="4" t="s">
        <v>32</v>
      </c>
      <c r="H33" s="4" t="s">
        <v>32</v>
      </c>
    </row>
    <row r="34" spans="2:8" ht="15" customHeight="1">
      <c r="B34" s="21" t="s">
        <v>74</v>
      </c>
      <c r="C34" s="163"/>
      <c r="D34" s="26" t="s">
        <v>32</v>
      </c>
      <c r="E34" s="4">
        <v>0</v>
      </c>
      <c r="F34" s="28" t="s">
        <v>32</v>
      </c>
      <c r="G34" s="4" t="s">
        <v>32</v>
      </c>
      <c r="H34" s="4" t="s">
        <v>32</v>
      </c>
    </row>
    <row r="35" spans="2:8" ht="45">
      <c r="B35" s="157" t="s">
        <v>160</v>
      </c>
      <c r="C35" s="163"/>
      <c r="D35" s="13" t="s">
        <v>164</v>
      </c>
      <c r="E35" s="4">
        <v>11250</v>
      </c>
      <c r="F35" s="13" t="s">
        <v>165</v>
      </c>
      <c r="G35" s="5" t="s">
        <v>163</v>
      </c>
      <c r="H35" s="5" t="s">
        <v>29</v>
      </c>
    </row>
    <row r="36" spans="2:8" ht="30">
      <c r="B36" s="158"/>
      <c r="C36" s="163"/>
      <c r="D36" s="12" t="s">
        <v>171</v>
      </c>
      <c r="E36" s="4">
        <v>238981</v>
      </c>
      <c r="F36" s="13" t="s">
        <v>172</v>
      </c>
      <c r="G36" s="5" t="s">
        <v>173</v>
      </c>
      <c r="H36" s="4"/>
    </row>
    <row r="37" spans="2:8" ht="30">
      <c r="B37" s="158"/>
      <c r="C37" s="163"/>
      <c r="D37" s="12" t="s">
        <v>174</v>
      </c>
      <c r="E37" s="4">
        <v>189559</v>
      </c>
      <c r="F37" s="13" t="s">
        <v>175</v>
      </c>
      <c r="G37" s="5" t="s">
        <v>173</v>
      </c>
      <c r="H37" s="4"/>
    </row>
    <row r="38" spans="2:8" ht="60">
      <c r="B38" s="158"/>
      <c r="C38" s="163"/>
      <c r="D38" s="12" t="s">
        <v>176</v>
      </c>
      <c r="E38" s="4">
        <v>1536150</v>
      </c>
      <c r="F38" s="13" t="s">
        <v>177</v>
      </c>
      <c r="G38" s="5" t="s">
        <v>173</v>
      </c>
      <c r="H38" s="4"/>
    </row>
    <row r="39" spans="2:8" ht="45">
      <c r="B39" s="159"/>
      <c r="C39" s="163"/>
      <c r="D39" s="13" t="s">
        <v>178</v>
      </c>
      <c r="E39" s="4">
        <v>50501</v>
      </c>
      <c r="F39" s="13" t="s">
        <v>179</v>
      </c>
      <c r="G39" s="5" t="s">
        <v>163</v>
      </c>
      <c r="H39" s="5" t="s">
        <v>29</v>
      </c>
    </row>
    <row r="40" spans="2:8" ht="60">
      <c r="B40" s="21" t="s">
        <v>308</v>
      </c>
      <c r="C40" s="163"/>
      <c r="D40" s="13" t="s">
        <v>309</v>
      </c>
      <c r="E40" s="4">
        <v>405000</v>
      </c>
      <c r="F40" s="13" t="s">
        <v>310</v>
      </c>
      <c r="G40" s="5" t="s">
        <v>163</v>
      </c>
      <c r="H40" s="5" t="s">
        <v>29</v>
      </c>
    </row>
    <row r="41" spans="2:8" ht="15" customHeight="1">
      <c r="B41" s="21" t="s">
        <v>373</v>
      </c>
      <c r="C41" s="163"/>
      <c r="D41" s="26" t="s">
        <v>32</v>
      </c>
      <c r="E41" s="4">
        <v>0</v>
      </c>
      <c r="F41" s="26" t="s">
        <v>32</v>
      </c>
      <c r="G41" s="4" t="s">
        <v>32</v>
      </c>
      <c r="H41" s="4" t="s">
        <v>32</v>
      </c>
    </row>
    <row r="42" spans="2:8" ht="45">
      <c r="B42" s="157" t="s">
        <v>438</v>
      </c>
      <c r="C42" s="163"/>
      <c r="D42" s="13" t="s">
        <v>178</v>
      </c>
      <c r="E42" s="4">
        <v>50250</v>
      </c>
      <c r="F42" s="13" t="s">
        <v>532</v>
      </c>
      <c r="G42" s="5" t="s">
        <v>163</v>
      </c>
      <c r="H42" s="5" t="s">
        <v>29</v>
      </c>
    </row>
    <row r="43" spans="2:8" ht="45">
      <c r="B43" s="159"/>
      <c r="C43" s="163"/>
      <c r="D43" s="12" t="s">
        <v>164</v>
      </c>
      <c r="E43" s="4">
        <v>11250</v>
      </c>
      <c r="F43" s="13" t="s">
        <v>533</v>
      </c>
      <c r="G43" s="5" t="s">
        <v>163</v>
      </c>
      <c r="H43" s="5" t="s">
        <v>29</v>
      </c>
    </row>
    <row r="44" spans="2:8" ht="45">
      <c r="B44" s="21" t="s">
        <v>540</v>
      </c>
      <c r="C44" s="163"/>
      <c r="D44" s="13" t="s">
        <v>541</v>
      </c>
      <c r="E44" s="4">
        <v>405000</v>
      </c>
      <c r="F44" s="13" t="s">
        <v>542</v>
      </c>
      <c r="G44" s="5" t="s">
        <v>163</v>
      </c>
      <c r="H44" s="5" t="s">
        <v>29</v>
      </c>
    </row>
    <row r="45" spans="2:8" ht="15" customHeight="1">
      <c r="B45" s="42" t="s">
        <v>597</v>
      </c>
      <c r="C45" s="163"/>
      <c r="D45" s="28" t="s">
        <v>32</v>
      </c>
      <c r="E45" s="4">
        <v>0</v>
      </c>
      <c r="F45" s="28" t="s">
        <v>32</v>
      </c>
      <c r="G45" s="4" t="s">
        <v>32</v>
      </c>
      <c r="H45" s="4" t="s">
        <v>32</v>
      </c>
    </row>
    <row r="46" spans="2:8" ht="45">
      <c r="B46" s="165" t="s">
        <v>650</v>
      </c>
      <c r="C46" s="163"/>
      <c r="D46" s="12" t="s">
        <v>654</v>
      </c>
      <c r="E46" s="4">
        <v>6200</v>
      </c>
      <c r="F46" s="22" t="s">
        <v>655</v>
      </c>
      <c r="G46" s="5" t="s">
        <v>163</v>
      </c>
      <c r="H46" s="5" t="s">
        <v>29</v>
      </c>
    </row>
    <row r="47" spans="2:8" ht="45">
      <c r="B47" s="165"/>
      <c r="C47" s="163"/>
      <c r="D47" s="13" t="s">
        <v>164</v>
      </c>
      <c r="E47" s="4">
        <v>11250</v>
      </c>
      <c r="F47" s="13" t="s">
        <v>656</v>
      </c>
      <c r="G47" s="5" t="s">
        <v>163</v>
      </c>
      <c r="H47" s="5" t="s">
        <v>29</v>
      </c>
    </row>
    <row r="48" spans="2:8" ht="45">
      <c r="B48" s="165"/>
      <c r="C48" s="163"/>
      <c r="D48" s="13" t="s">
        <v>178</v>
      </c>
      <c r="E48" s="4">
        <v>50250</v>
      </c>
      <c r="F48" s="13" t="s">
        <v>657</v>
      </c>
      <c r="G48" s="5" t="s">
        <v>163</v>
      </c>
      <c r="H48" s="5" t="s">
        <v>29</v>
      </c>
    </row>
    <row r="49" spans="2:8" ht="45">
      <c r="B49" s="165"/>
      <c r="C49" s="163"/>
      <c r="D49" s="12" t="s">
        <v>658</v>
      </c>
      <c r="E49" s="4">
        <v>844883</v>
      </c>
      <c r="F49" s="22" t="s">
        <v>659</v>
      </c>
      <c r="G49" s="5" t="s">
        <v>163</v>
      </c>
      <c r="H49" s="5" t="s">
        <v>185</v>
      </c>
    </row>
    <row r="50" spans="2:8" ht="60">
      <c r="B50" s="157" t="s">
        <v>770</v>
      </c>
      <c r="C50" s="163"/>
      <c r="D50" s="13" t="s">
        <v>777</v>
      </c>
      <c r="E50" s="4">
        <v>405000</v>
      </c>
      <c r="F50" s="13" t="s">
        <v>778</v>
      </c>
      <c r="G50" s="5" t="s">
        <v>163</v>
      </c>
      <c r="H50" s="5" t="s">
        <v>29</v>
      </c>
    </row>
    <row r="51" spans="2:8" ht="45">
      <c r="B51" s="158"/>
      <c r="C51" s="163"/>
      <c r="D51" s="13" t="s">
        <v>779</v>
      </c>
      <c r="E51" s="4">
        <v>4500</v>
      </c>
      <c r="F51" s="13" t="s">
        <v>780</v>
      </c>
      <c r="G51" s="5" t="s">
        <v>163</v>
      </c>
      <c r="H51" s="5" t="s">
        <v>29</v>
      </c>
    </row>
    <row r="52" spans="2:8" ht="45">
      <c r="B52" s="159"/>
      <c r="C52" s="164"/>
      <c r="D52" s="13" t="s">
        <v>781</v>
      </c>
      <c r="E52" s="4">
        <v>75000</v>
      </c>
      <c r="F52" s="13" t="s">
        <v>782</v>
      </c>
      <c r="G52" s="5" t="s">
        <v>163</v>
      </c>
      <c r="H52" s="5" t="s">
        <v>29</v>
      </c>
    </row>
    <row r="53" spans="2:8" ht="15.75">
      <c r="B53" s="144"/>
      <c r="C53" s="145"/>
      <c r="D53" s="12"/>
      <c r="E53" s="4"/>
      <c r="F53" s="22"/>
      <c r="G53" s="5"/>
      <c r="H53" s="5"/>
    </row>
    <row r="54" spans="2:8" ht="15.75">
      <c r="B54" s="135"/>
      <c r="C54" s="145"/>
      <c r="D54" s="12"/>
      <c r="E54" s="4"/>
      <c r="F54" s="22"/>
      <c r="G54" s="5"/>
      <c r="H54" s="5"/>
    </row>
    <row r="55" spans="2:8" ht="15.75">
      <c r="B55" s="135"/>
      <c r="C55" s="145"/>
      <c r="D55" s="12"/>
      <c r="E55" s="4"/>
      <c r="F55" s="22"/>
      <c r="G55" s="5"/>
      <c r="H55" s="5"/>
    </row>
    <row r="56" spans="2:8" ht="15.75">
      <c r="B56" s="135"/>
      <c r="C56" s="145"/>
      <c r="D56" s="12"/>
      <c r="E56" s="4"/>
      <c r="F56" s="22"/>
      <c r="G56" s="5"/>
      <c r="H56" s="5"/>
    </row>
    <row r="57" spans="2:8" ht="15.75">
      <c r="B57" s="135"/>
      <c r="C57" s="133"/>
      <c r="D57" s="12"/>
      <c r="E57" s="4"/>
      <c r="F57" s="22"/>
      <c r="G57" s="5"/>
      <c r="H57" s="5"/>
    </row>
    <row r="58" spans="2:8" ht="15.75" customHeight="1">
      <c r="B58" s="166" t="s">
        <v>33</v>
      </c>
      <c r="C58" s="167"/>
      <c r="D58" s="20"/>
      <c r="E58" s="5">
        <f>SUM(E33:E52)</f>
        <v>4295024</v>
      </c>
      <c r="F58" s="17"/>
      <c r="G58" s="4"/>
      <c r="H58" s="10"/>
    </row>
    <row r="59" spans="2:8" ht="15.75" customHeight="1">
      <c r="B59" s="9" t="s">
        <v>43</v>
      </c>
      <c r="C59" s="162" t="s">
        <v>23</v>
      </c>
      <c r="D59" s="26" t="s">
        <v>32</v>
      </c>
      <c r="E59" s="4">
        <v>0</v>
      </c>
      <c r="F59" s="4" t="s">
        <v>32</v>
      </c>
      <c r="G59" s="4" t="s">
        <v>32</v>
      </c>
      <c r="H59" s="4" t="s">
        <v>32</v>
      </c>
    </row>
    <row r="60" spans="2:8" ht="30">
      <c r="B60" s="66" t="s">
        <v>74</v>
      </c>
      <c r="C60" s="163"/>
      <c r="D60" s="13" t="s">
        <v>75</v>
      </c>
      <c r="E60" s="4">
        <v>1202855</v>
      </c>
      <c r="F60" s="13" t="s">
        <v>76</v>
      </c>
      <c r="G60" s="5" t="s">
        <v>77</v>
      </c>
      <c r="H60" s="4"/>
    </row>
    <row r="61" spans="2:8" ht="45">
      <c r="B61" s="21" t="s">
        <v>160</v>
      </c>
      <c r="C61" s="163"/>
      <c r="D61" s="13" t="s">
        <v>168</v>
      </c>
      <c r="E61" s="4">
        <v>550055</v>
      </c>
      <c r="F61" s="13" t="s">
        <v>169</v>
      </c>
      <c r="G61" s="5" t="s">
        <v>170</v>
      </c>
      <c r="H61" s="5"/>
    </row>
    <row r="62" spans="2:8" ht="60">
      <c r="B62" s="157" t="s">
        <v>308</v>
      </c>
      <c r="C62" s="163"/>
      <c r="D62" s="13" t="s">
        <v>311</v>
      </c>
      <c r="E62" s="4">
        <v>477070</v>
      </c>
      <c r="F62" s="13" t="s">
        <v>312</v>
      </c>
      <c r="G62" s="5" t="s">
        <v>163</v>
      </c>
      <c r="H62" s="5" t="s">
        <v>313</v>
      </c>
    </row>
    <row r="63" spans="2:8" ht="45">
      <c r="B63" s="159"/>
      <c r="C63" s="163"/>
      <c r="D63" s="13" t="s">
        <v>314</v>
      </c>
      <c r="E63" s="4">
        <v>1500</v>
      </c>
      <c r="F63" s="13" t="s">
        <v>315</v>
      </c>
      <c r="G63" s="5" t="s">
        <v>163</v>
      </c>
      <c r="H63" s="5" t="s">
        <v>29</v>
      </c>
    </row>
    <row r="64" spans="2:8" ht="30">
      <c r="B64" s="157" t="s">
        <v>373</v>
      </c>
      <c r="C64" s="163"/>
      <c r="D64" s="12" t="s">
        <v>374</v>
      </c>
      <c r="E64" s="4">
        <v>291136</v>
      </c>
      <c r="F64" s="13" t="s">
        <v>375</v>
      </c>
      <c r="G64" s="5" t="s">
        <v>376</v>
      </c>
      <c r="H64" s="5"/>
    </row>
    <row r="65" spans="2:8" ht="45">
      <c r="B65" s="159"/>
      <c r="C65" s="163"/>
      <c r="D65" s="13" t="s">
        <v>377</v>
      </c>
      <c r="E65" s="4">
        <v>50000</v>
      </c>
      <c r="F65" s="13" t="s">
        <v>378</v>
      </c>
      <c r="G65" s="5" t="s">
        <v>163</v>
      </c>
      <c r="H65" s="5" t="s">
        <v>29</v>
      </c>
    </row>
    <row r="66" spans="2:8" ht="45">
      <c r="B66" s="157" t="s">
        <v>438</v>
      </c>
      <c r="C66" s="163"/>
      <c r="D66" s="13" t="s">
        <v>530</v>
      </c>
      <c r="E66" s="4">
        <v>1500</v>
      </c>
      <c r="F66" s="13" t="s">
        <v>531</v>
      </c>
      <c r="G66" s="5" t="s">
        <v>163</v>
      </c>
      <c r="H66" s="5" t="s">
        <v>29</v>
      </c>
    </row>
    <row r="67" spans="2:8" ht="105">
      <c r="B67" s="158"/>
      <c r="C67" s="163"/>
      <c r="D67" s="13" t="s">
        <v>534</v>
      </c>
      <c r="E67" s="4">
        <v>75000</v>
      </c>
      <c r="F67" s="26" t="s">
        <v>535</v>
      </c>
      <c r="G67" s="4" t="s">
        <v>536</v>
      </c>
      <c r="H67" s="5" t="s">
        <v>502</v>
      </c>
    </row>
    <row r="68" spans="2:8" ht="60">
      <c r="B68" s="159"/>
      <c r="C68" s="163"/>
      <c r="D68" s="13" t="s">
        <v>537</v>
      </c>
      <c r="E68" s="4">
        <v>9000</v>
      </c>
      <c r="F68" s="26" t="s">
        <v>538</v>
      </c>
      <c r="G68" s="4" t="s">
        <v>539</v>
      </c>
      <c r="H68" s="5" t="s">
        <v>502</v>
      </c>
    </row>
    <row r="69" spans="2:8" ht="45">
      <c r="B69" s="157" t="s">
        <v>540</v>
      </c>
      <c r="C69" s="163"/>
      <c r="D69" s="13" t="s">
        <v>543</v>
      </c>
      <c r="E69" s="4">
        <v>100000</v>
      </c>
      <c r="F69" s="26" t="s">
        <v>544</v>
      </c>
      <c r="G69" s="4" t="s">
        <v>545</v>
      </c>
      <c r="H69" s="5" t="s">
        <v>502</v>
      </c>
    </row>
    <row r="70" spans="2:8" ht="45">
      <c r="B70" s="158"/>
      <c r="C70" s="163"/>
      <c r="D70" s="13" t="s">
        <v>546</v>
      </c>
      <c r="E70" s="4">
        <v>900</v>
      </c>
      <c r="F70" s="13" t="s">
        <v>547</v>
      </c>
      <c r="G70" s="4" t="s">
        <v>548</v>
      </c>
      <c r="H70" s="5" t="s">
        <v>502</v>
      </c>
    </row>
    <row r="71" spans="2:8" ht="45">
      <c r="B71" s="159"/>
      <c r="C71" s="163"/>
      <c r="D71" s="13" t="s">
        <v>549</v>
      </c>
      <c r="E71" s="4">
        <v>125000</v>
      </c>
      <c r="F71" s="13" t="s">
        <v>550</v>
      </c>
      <c r="G71" s="4" t="s">
        <v>551</v>
      </c>
      <c r="H71" s="5" t="s">
        <v>502</v>
      </c>
    </row>
    <row r="72" spans="2:8">
      <c r="B72" s="126" t="s">
        <v>597</v>
      </c>
      <c r="C72" s="163"/>
      <c r="D72" s="26" t="s">
        <v>32</v>
      </c>
      <c r="E72" s="4">
        <v>0</v>
      </c>
      <c r="F72" s="26" t="s">
        <v>32</v>
      </c>
      <c r="G72" s="4" t="s">
        <v>32</v>
      </c>
      <c r="H72" s="4" t="s">
        <v>32</v>
      </c>
    </row>
    <row r="73" spans="2:8" ht="60">
      <c r="B73" s="157" t="s">
        <v>650</v>
      </c>
      <c r="C73" s="163"/>
      <c r="D73" s="13" t="s">
        <v>660</v>
      </c>
      <c r="E73" s="4">
        <v>20000</v>
      </c>
      <c r="F73" s="22" t="s">
        <v>661</v>
      </c>
      <c r="G73" s="5" t="s">
        <v>163</v>
      </c>
      <c r="H73" s="5" t="s">
        <v>29</v>
      </c>
    </row>
    <row r="74" spans="2:8" ht="45">
      <c r="B74" s="158"/>
      <c r="C74" s="163"/>
      <c r="D74" s="13" t="s">
        <v>662</v>
      </c>
      <c r="E74" s="4">
        <v>11111</v>
      </c>
      <c r="F74" s="22" t="s">
        <v>663</v>
      </c>
      <c r="G74" s="5" t="s">
        <v>163</v>
      </c>
      <c r="H74" s="5" t="s">
        <v>29</v>
      </c>
    </row>
    <row r="75" spans="2:8" ht="45">
      <c r="B75" s="158"/>
      <c r="C75" s="163"/>
      <c r="D75" s="13" t="s">
        <v>664</v>
      </c>
      <c r="E75" s="4">
        <v>450000</v>
      </c>
      <c r="F75" s="13" t="s">
        <v>665</v>
      </c>
      <c r="G75" s="5" t="s">
        <v>163</v>
      </c>
      <c r="H75" s="5" t="s">
        <v>29</v>
      </c>
    </row>
    <row r="76" spans="2:8" ht="45">
      <c r="B76" s="159"/>
      <c r="C76" s="163"/>
      <c r="D76" s="13" t="s">
        <v>314</v>
      </c>
      <c r="E76" s="4">
        <v>1500</v>
      </c>
      <c r="F76" s="13" t="s">
        <v>666</v>
      </c>
      <c r="G76" s="5" t="s">
        <v>163</v>
      </c>
      <c r="H76" s="5" t="s">
        <v>29</v>
      </c>
    </row>
    <row r="77" spans="2:8" ht="60">
      <c r="B77" s="157" t="s">
        <v>770</v>
      </c>
      <c r="C77" s="163"/>
      <c r="D77" s="13" t="s">
        <v>783</v>
      </c>
      <c r="E77" s="4">
        <v>13750</v>
      </c>
      <c r="F77" s="13" t="s">
        <v>784</v>
      </c>
      <c r="G77" s="5" t="s">
        <v>163</v>
      </c>
      <c r="H77" s="5" t="s">
        <v>29</v>
      </c>
    </row>
    <row r="78" spans="2:8" ht="60">
      <c r="B78" s="158"/>
      <c r="C78" s="163"/>
      <c r="D78" s="13" t="s">
        <v>785</v>
      </c>
      <c r="E78" s="4">
        <v>75000</v>
      </c>
      <c r="F78" s="13" t="s">
        <v>786</v>
      </c>
      <c r="G78" s="5" t="s">
        <v>163</v>
      </c>
      <c r="H78" s="5" t="s">
        <v>29</v>
      </c>
    </row>
    <row r="79" spans="2:8" ht="45">
      <c r="B79" s="158"/>
      <c r="C79" s="163"/>
      <c r="D79" s="13" t="s">
        <v>787</v>
      </c>
      <c r="E79" s="4">
        <v>26500</v>
      </c>
      <c r="F79" s="13" t="s">
        <v>788</v>
      </c>
      <c r="G79" s="5" t="s">
        <v>163</v>
      </c>
      <c r="H79" s="5" t="s">
        <v>29</v>
      </c>
    </row>
    <row r="80" spans="2:8" ht="60">
      <c r="B80" s="158"/>
      <c r="C80" s="163"/>
      <c r="D80" s="13" t="s">
        <v>789</v>
      </c>
      <c r="E80" s="4">
        <v>477070</v>
      </c>
      <c r="F80" s="13" t="s">
        <v>790</v>
      </c>
      <c r="G80" s="5" t="s">
        <v>163</v>
      </c>
      <c r="H80" s="5" t="s">
        <v>185</v>
      </c>
    </row>
    <row r="81" spans="2:8" ht="60">
      <c r="B81" s="159"/>
      <c r="C81" s="163"/>
      <c r="D81" s="13" t="s">
        <v>791</v>
      </c>
      <c r="E81" s="4">
        <v>1700000</v>
      </c>
      <c r="F81" s="13" t="s">
        <v>792</v>
      </c>
      <c r="G81" s="5" t="s">
        <v>163</v>
      </c>
      <c r="H81" s="5" t="s">
        <v>185</v>
      </c>
    </row>
    <row r="82" spans="2:8">
      <c r="B82" s="33"/>
      <c r="C82" s="164"/>
      <c r="D82" s="13"/>
      <c r="E82" s="4"/>
      <c r="F82" s="13"/>
      <c r="G82" s="4"/>
      <c r="H82" s="5"/>
    </row>
    <row r="83" spans="2:8">
      <c r="B83" s="160" t="s">
        <v>33</v>
      </c>
      <c r="C83" s="161"/>
      <c r="D83" s="10"/>
      <c r="E83" s="14">
        <f>SUM(E59:E82)</f>
        <v>5658947</v>
      </c>
      <c r="F83" s="10"/>
      <c r="G83" s="10"/>
      <c r="H83" s="10"/>
    </row>
    <row r="84" spans="2:8">
      <c r="B84" s="35" t="s">
        <v>43</v>
      </c>
      <c r="C84" s="162" t="s">
        <v>24</v>
      </c>
      <c r="D84" s="26" t="s">
        <v>32</v>
      </c>
      <c r="E84" s="4">
        <v>0</v>
      </c>
      <c r="F84" s="4" t="s">
        <v>32</v>
      </c>
      <c r="G84" s="4" t="s">
        <v>32</v>
      </c>
      <c r="H84" s="4" t="s">
        <v>32</v>
      </c>
    </row>
    <row r="85" spans="2:8" ht="15.75" customHeight="1">
      <c r="B85" s="65" t="s">
        <v>74</v>
      </c>
      <c r="C85" s="163"/>
      <c r="D85" s="26" t="s">
        <v>32</v>
      </c>
      <c r="E85" s="4">
        <v>0</v>
      </c>
      <c r="F85" s="4" t="s">
        <v>32</v>
      </c>
      <c r="G85" s="4" t="s">
        <v>32</v>
      </c>
      <c r="H85" s="4" t="s">
        <v>32</v>
      </c>
    </row>
    <row r="86" spans="2:8" ht="15.75" customHeight="1">
      <c r="B86" s="74" t="s">
        <v>160</v>
      </c>
      <c r="C86" s="163"/>
      <c r="D86" s="26" t="s">
        <v>32</v>
      </c>
      <c r="E86" s="4">
        <v>0</v>
      </c>
      <c r="F86" s="4" t="s">
        <v>32</v>
      </c>
      <c r="G86" s="4" t="s">
        <v>32</v>
      </c>
      <c r="H86" s="4" t="s">
        <v>32</v>
      </c>
    </row>
    <row r="87" spans="2:8" ht="15.75" customHeight="1">
      <c r="B87" s="81" t="s">
        <v>308</v>
      </c>
      <c r="C87" s="163"/>
      <c r="D87" s="26" t="s">
        <v>32</v>
      </c>
      <c r="E87" s="4">
        <v>0</v>
      </c>
      <c r="F87" s="4" t="s">
        <v>32</v>
      </c>
      <c r="G87" s="4" t="s">
        <v>32</v>
      </c>
      <c r="H87" s="4" t="s">
        <v>32</v>
      </c>
    </row>
    <row r="88" spans="2:8">
      <c r="B88" s="89" t="s">
        <v>373</v>
      </c>
      <c r="C88" s="163"/>
      <c r="D88" s="26" t="s">
        <v>32</v>
      </c>
      <c r="E88" s="4">
        <v>0</v>
      </c>
      <c r="F88" s="26" t="s">
        <v>32</v>
      </c>
      <c r="G88" s="4" t="s">
        <v>32</v>
      </c>
      <c r="H88" s="4" t="s">
        <v>32</v>
      </c>
    </row>
    <row r="89" spans="2:8">
      <c r="B89" s="111" t="s">
        <v>438</v>
      </c>
      <c r="C89" s="163"/>
      <c r="D89" s="26" t="s">
        <v>32</v>
      </c>
      <c r="E89" s="4">
        <v>0</v>
      </c>
      <c r="F89" s="4" t="s">
        <v>32</v>
      </c>
      <c r="G89" s="4" t="s">
        <v>32</v>
      </c>
      <c r="H89" s="4" t="s">
        <v>32</v>
      </c>
    </row>
    <row r="90" spans="2:8" ht="30">
      <c r="B90" s="119" t="s">
        <v>540</v>
      </c>
      <c r="C90" s="163"/>
      <c r="D90" s="13" t="s">
        <v>552</v>
      </c>
      <c r="E90" s="4">
        <v>206286</v>
      </c>
      <c r="F90" s="26" t="s">
        <v>553</v>
      </c>
      <c r="G90" s="4" t="s">
        <v>554</v>
      </c>
      <c r="H90" s="5" t="s">
        <v>502</v>
      </c>
    </row>
    <row r="91" spans="2:8" ht="30">
      <c r="B91" s="174" t="s">
        <v>597</v>
      </c>
      <c r="C91" s="163"/>
      <c r="D91" s="13" t="s">
        <v>598</v>
      </c>
      <c r="E91" s="4">
        <v>506904</v>
      </c>
      <c r="F91" s="13" t="s">
        <v>599</v>
      </c>
      <c r="G91" s="4" t="s">
        <v>600</v>
      </c>
      <c r="H91" s="5" t="s">
        <v>502</v>
      </c>
    </row>
    <row r="92" spans="2:8" ht="30">
      <c r="B92" s="178"/>
      <c r="C92" s="163"/>
      <c r="D92" s="13" t="s">
        <v>601</v>
      </c>
      <c r="E92" s="4">
        <v>196460</v>
      </c>
      <c r="F92" s="13" t="s">
        <v>602</v>
      </c>
      <c r="G92" s="4" t="s">
        <v>603</v>
      </c>
      <c r="H92" s="5" t="s">
        <v>502</v>
      </c>
    </row>
    <row r="93" spans="2:8">
      <c r="B93" s="134" t="s">
        <v>650</v>
      </c>
      <c r="C93" s="163"/>
      <c r="D93" s="26" t="s">
        <v>32</v>
      </c>
      <c r="E93" s="4">
        <v>0</v>
      </c>
      <c r="F93" s="26" t="s">
        <v>32</v>
      </c>
      <c r="G93" s="4" t="s">
        <v>32</v>
      </c>
      <c r="H93" s="4" t="s">
        <v>32</v>
      </c>
    </row>
    <row r="94" spans="2:8">
      <c r="B94" s="143" t="s">
        <v>770</v>
      </c>
      <c r="C94" s="163"/>
      <c r="D94" s="26" t="s">
        <v>32</v>
      </c>
      <c r="E94" s="4">
        <v>0</v>
      </c>
      <c r="F94" s="26" t="s">
        <v>32</v>
      </c>
      <c r="G94" s="4" t="s">
        <v>32</v>
      </c>
      <c r="H94" s="4" t="s">
        <v>32</v>
      </c>
    </row>
    <row r="95" spans="2:8">
      <c r="B95" s="59"/>
      <c r="C95" s="163"/>
      <c r="D95" s="26"/>
      <c r="E95" s="4"/>
      <c r="F95" s="13"/>
      <c r="G95" s="4"/>
      <c r="H95" s="4"/>
    </row>
    <row r="96" spans="2:8">
      <c r="B96" s="34"/>
      <c r="C96" s="164"/>
      <c r="D96" s="26"/>
      <c r="E96" s="4"/>
      <c r="F96" s="13"/>
      <c r="G96" s="4"/>
      <c r="H96" s="4"/>
    </row>
    <row r="97" spans="2:8" ht="15.75" customHeight="1">
      <c r="B97" s="166" t="s">
        <v>33</v>
      </c>
      <c r="C97" s="167"/>
      <c r="D97" s="25"/>
      <c r="E97" s="14">
        <f>SUM(E84:E96)</f>
        <v>909650</v>
      </c>
      <c r="F97" s="5"/>
      <c r="G97" s="5"/>
      <c r="H97" s="5"/>
    </row>
    <row r="98" spans="2:8">
      <c r="B98" s="160" t="s">
        <v>34</v>
      </c>
      <c r="C98" s="161"/>
      <c r="D98" s="10"/>
      <c r="E98" s="37">
        <f>(E17+E32+E58+E83+E97)</f>
        <v>11424321</v>
      </c>
      <c r="F98" s="10"/>
      <c r="G98" s="10"/>
      <c r="H98" s="10"/>
    </row>
  </sheetData>
  <mergeCells count="29">
    <mergeCell ref="B42:B43"/>
    <mergeCell ref="C5:C16"/>
    <mergeCell ref="C18:C31"/>
    <mergeCell ref="B32:C32"/>
    <mergeCell ref="B17:C17"/>
    <mergeCell ref="B35:B39"/>
    <mergeCell ref="H3:H4"/>
    <mergeCell ref="B3:B4"/>
    <mergeCell ref="C3:C4"/>
    <mergeCell ref="D3:D4"/>
    <mergeCell ref="E3:E4"/>
    <mergeCell ref="F3:F4"/>
    <mergeCell ref="G3:G4"/>
    <mergeCell ref="B50:B52"/>
    <mergeCell ref="C33:C52"/>
    <mergeCell ref="B77:B81"/>
    <mergeCell ref="B98:C98"/>
    <mergeCell ref="B58:C58"/>
    <mergeCell ref="B97:C97"/>
    <mergeCell ref="C84:C96"/>
    <mergeCell ref="B83:C83"/>
    <mergeCell ref="C59:C82"/>
    <mergeCell ref="B62:B63"/>
    <mergeCell ref="B64:B65"/>
    <mergeCell ref="B66:B68"/>
    <mergeCell ref="B69:B71"/>
    <mergeCell ref="B91:B92"/>
    <mergeCell ref="B73:B76"/>
    <mergeCell ref="B46:B49"/>
  </mergeCells>
  <pageMargins left="0.7" right="0.7" top="0.75" bottom="0.75" header="0.3" footer="0.3"/>
  <pageSetup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L9"/>
  <sheetViews>
    <sheetView tabSelected="1" zoomScaleSheetLayoutView="100" workbookViewId="0">
      <selection activeCell="I9" sqref="I9"/>
    </sheetView>
  </sheetViews>
  <sheetFormatPr defaultRowHeight="15.75"/>
  <cols>
    <col min="1" max="1" width="6.140625" style="18" customWidth="1"/>
    <col min="2" max="2" width="11.5703125" style="18" customWidth="1"/>
    <col min="3" max="3" width="11.7109375" style="18" customWidth="1"/>
    <col min="4" max="4" width="15.85546875" style="18" customWidth="1"/>
    <col min="5" max="5" width="12" style="18" customWidth="1"/>
    <col min="6" max="6" width="13.140625" style="18" bestFit="1" customWidth="1"/>
    <col min="7" max="7" width="12" style="18" customWidth="1"/>
    <col min="8" max="8" width="12.28515625" style="18" customWidth="1"/>
    <col min="9" max="9" width="14" style="18" customWidth="1"/>
    <col min="10" max="10" width="16.28515625" style="18" customWidth="1"/>
    <col min="11" max="11" width="20" style="18" customWidth="1"/>
    <col min="12" max="12" width="14.140625" style="18" customWidth="1"/>
    <col min="13" max="16384" width="9.140625" style="18"/>
  </cols>
  <sheetData>
    <row r="2" spans="1:12" ht="15.75" customHeight="1">
      <c r="A2" s="185" t="s">
        <v>837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</row>
    <row r="3" spans="1:12" ht="102" customHeight="1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  <c r="K3" s="6" t="s">
        <v>25</v>
      </c>
      <c r="L3" s="46" t="s">
        <v>33</v>
      </c>
    </row>
    <row r="4" spans="1:12">
      <c r="A4" s="7">
        <v>1</v>
      </c>
      <c r="B4" s="8" t="s">
        <v>9</v>
      </c>
      <c r="C4" s="152">
        <v>2.1749999999999999E-3</v>
      </c>
      <c r="D4" s="154">
        <v>0.2604513</v>
      </c>
      <c r="E4" s="154">
        <v>0.52974149999999998</v>
      </c>
      <c r="F4" s="30">
        <v>0</v>
      </c>
      <c r="G4" s="30">
        <v>0</v>
      </c>
      <c r="H4" s="30">
        <v>0</v>
      </c>
      <c r="I4" s="154">
        <v>0.9586598999999999</v>
      </c>
      <c r="J4" s="152">
        <v>0.28578880000000001</v>
      </c>
      <c r="K4" s="30">
        <v>0</v>
      </c>
      <c r="L4" s="152">
        <f t="shared" ref="L4:L9" si="0">(C4+D4+E4+F4+G4+H4+I4+J4+K4)</f>
        <v>2.0368165</v>
      </c>
    </row>
    <row r="5" spans="1:12">
      <c r="A5" s="7">
        <v>2</v>
      </c>
      <c r="B5" s="8" t="s">
        <v>13</v>
      </c>
      <c r="C5" s="152">
        <v>0.14827599999999999</v>
      </c>
      <c r="D5" s="30">
        <v>0</v>
      </c>
      <c r="E5" s="152">
        <v>0.20454999999999998</v>
      </c>
      <c r="F5" s="30">
        <v>0</v>
      </c>
      <c r="G5" s="30">
        <v>0</v>
      </c>
      <c r="H5" s="30">
        <v>0</v>
      </c>
      <c r="I5" s="154">
        <v>0.26234879999999999</v>
      </c>
      <c r="J5" s="30">
        <v>1.1495E-2</v>
      </c>
      <c r="K5" s="30">
        <v>0</v>
      </c>
      <c r="L5" s="152">
        <f t="shared" si="0"/>
        <v>0.62666979999999994</v>
      </c>
    </row>
    <row r="6" spans="1:12">
      <c r="A6" s="7">
        <v>3</v>
      </c>
      <c r="B6" s="8" t="s">
        <v>12</v>
      </c>
      <c r="C6" s="153">
        <v>0.4382509</v>
      </c>
      <c r="D6" s="30">
        <v>0</v>
      </c>
      <c r="E6" s="153">
        <v>4.7769999999999993E-2</v>
      </c>
      <c r="F6" s="30">
        <v>0</v>
      </c>
      <c r="G6" s="30">
        <v>0</v>
      </c>
      <c r="H6" s="30">
        <v>0</v>
      </c>
      <c r="I6" s="154">
        <v>6.9821099999999997E-2</v>
      </c>
      <c r="J6" s="39">
        <v>0</v>
      </c>
      <c r="K6" s="30">
        <v>0</v>
      </c>
      <c r="L6" s="152">
        <f t="shared" si="0"/>
        <v>0.55584199999999995</v>
      </c>
    </row>
    <row r="7" spans="1:12">
      <c r="A7" s="7">
        <v>4</v>
      </c>
      <c r="B7" s="8" t="s">
        <v>10</v>
      </c>
      <c r="C7" s="152">
        <v>0.20888029999999999</v>
      </c>
      <c r="D7" s="154">
        <v>0.23101749999999999</v>
      </c>
      <c r="E7" s="154">
        <v>0.85536159999999994</v>
      </c>
      <c r="F7" s="30">
        <v>0</v>
      </c>
      <c r="G7" s="30">
        <v>0</v>
      </c>
      <c r="H7" s="30">
        <v>0</v>
      </c>
      <c r="I7" s="152">
        <v>1.562357</v>
      </c>
      <c r="J7" s="152">
        <v>5.0687400000000001E-2</v>
      </c>
      <c r="K7" s="30">
        <v>0</v>
      </c>
      <c r="L7" s="152">
        <f t="shared" si="0"/>
        <v>2.9083038000000001</v>
      </c>
    </row>
    <row r="8" spans="1:12">
      <c r="A8" s="7">
        <v>5</v>
      </c>
      <c r="B8" s="8" t="s">
        <v>11</v>
      </c>
      <c r="C8" s="154">
        <v>1.6500000000000001E-2</v>
      </c>
      <c r="D8" s="154">
        <v>3.9570000000000001E-2</v>
      </c>
      <c r="E8" s="154">
        <v>0.42950240000000001</v>
      </c>
      <c r="F8" s="30">
        <v>0</v>
      </c>
      <c r="G8" s="30">
        <v>0</v>
      </c>
      <c r="H8" s="30">
        <v>0</v>
      </c>
      <c r="I8" s="153">
        <v>0.56589469999999997</v>
      </c>
      <c r="J8" s="152">
        <v>9.096499999999999E-2</v>
      </c>
      <c r="K8" s="30">
        <v>0</v>
      </c>
      <c r="L8" s="152">
        <f t="shared" si="0"/>
        <v>1.1424321</v>
      </c>
    </row>
    <row r="9" spans="1:12">
      <c r="A9" s="185" t="s">
        <v>34</v>
      </c>
      <c r="B9" s="185"/>
      <c r="C9" s="155">
        <f>SUM(C4:C8)</f>
        <v>0.81408219999999998</v>
      </c>
      <c r="D9" s="155">
        <f t="shared" ref="D9:K9" si="1">SUM(D4:D8)</f>
        <v>0.53103880000000003</v>
      </c>
      <c r="E9" s="155">
        <f>SUM(E4:E8)</f>
        <v>2.0669255</v>
      </c>
      <c r="F9" s="31">
        <f t="shared" si="1"/>
        <v>0</v>
      </c>
      <c r="G9" s="31">
        <f t="shared" si="1"/>
        <v>0</v>
      </c>
      <c r="H9" s="31">
        <f t="shared" si="1"/>
        <v>0</v>
      </c>
      <c r="I9" s="155">
        <f t="shared" si="1"/>
        <v>3.4190814999999994</v>
      </c>
      <c r="J9" s="155">
        <f>SUM(J4:J8)</f>
        <v>0.4389362</v>
      </c>
      <c r="K9" s="31">
        <f t="shared" si="1"/>
        <v>0</v>
      </c>
      <c r="L9" s="156">
        <f t="shared" si="0"/>
        <v>7.2700641999999993</v>
      </c>
    </row>
  </sheetData>
  <mergeCells count="2">
    <mergeCell ref="A9:B9"/>
    <mergeCell ref="A2:L2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KIR</vt:lpstr>
      <vt:lpstr>APDJ</vt:lpstr>
      <vt:lpstr>RNY</vt:lpstr>
      <vt:lpstr>LMG</vt:lpstr>
      <vt:lpstr>TSK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2026-02-20T05:30:03Z</dcterms:modified>
</cp:coreProperties>
</file>